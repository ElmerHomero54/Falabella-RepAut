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W9" i="2" l="1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X8" i="2" l="1"/>
  <c r="X7" i="2"/>
  <c r="X6" i="2"/>
  <c r="X5" i="2"/>
  <c r="X4" i="2"/>
  <c r="X9" i="2" l="1"/>
  <c r="C2" i="2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<sst xmlns="http://schemas.openxmlformats.org/spreadsheetml/2006/main" count="15" uniqueCount="11">
  <si>
    <t>MES</t>
  </si>
  <si>
    <t>PROM</t>
  </si>
  <si>
    <t>PMM</t>
  </si>
  <si>
    <t>TOTAL DURACION PROCESOS</t>
  </si>
  <si>
    <t>Observaciones</t>
  </si>
  <si>
    <t xml:space="preserve"> </t>
  </si>
  <si>
    <t>Hora Término Malla</t>
  </si>
  <si>
    <t>Rep_Cont/Ext/Cyber/Sabanas</t>
  </si>
  <si>
    <t>BOD</t>
  </si>
  <si>
    <t>FOSO_Reportes_BFCO</t>
  </si>
  <si>
    <t>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</si>
</sst>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8" fillId="5" borderId="1" xfId="1" applyFont="1" applyFill="1" applyBorder="1" applyAlignment="1">
      <alignment vertical="center"/>
    </xf>
    <xf numFmtId="17" fontId="2" fillId="3" borderId="0" xfId="1" applyNumberFormat="1" applyFont="1" applyFill="1" applyBorder="1" applyAlignment="1">
      <alignment vertical="center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FCC Colombia-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Rep_Cont/Ext/Cyber/Sabanas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Principal!$B$5:$W$5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BOD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Principal!$B$6:$W$6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FOSO_Reportes_BFCO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Principal!$B$7:$W$7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EDO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Principal!$B$8:$W$8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Principal!$B$9:$W$9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4044928"/>
        <c:axId val="94046464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044928"/>
        <c:axId val="94046464"/>
      </c:lineChart>
      <c:catAx>
        <c:axId val="94044928"/>
        <c:scaling>
          <c:orientation val="minMax"/>
        </c:scaling>
        <c:delete val="0"/>
        <c:axPos val="b"/>
        <c:majorTickMark val="out"/>
        <c:minorTickMark val="none"/>
        <c:tickLblPos val="nextTo"/>
        <c:crossAx val="94046464"/>
        <c:crosses val="autoZero"/>
        <c:auto val="1"/>
        <c:lblAlgn val="ctr"/>
        <c:lblOffset val="100"/>
        <c:noMultiLvlLbl val="0"/>
      </c:catAx>
      <c:valAx>
        <c:axId val="9404646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940449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12</xdr:row>
      <xdr:rowOff>23810</xdr:rowOff>
    </xdr:from>
    <xdr:to>
      <xdr:col>34</xdr:col>
      <xdr:colOff>495300</xdr:colOff>
      <xdr:row>41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1"/>
  <sheetViews>
    <sheetView tabSelected="1" workbookViewId="0">
      <selection activeCell="A4" sqref="A4"/>
    </sheetView>
  </sheetViews>
  <sheetFormatPr baseColWidth="10" defaultRowHeight="15" x14ac:dyDescent="0.25"/>
  <cols>
    <col min="1" max="1" width="30" bestFit="1" customWidth="1"/>
  </cols>
  <sheetData>
    <row r="1" spans="1:30" x14ac:dyDescent="0.25">
      <c r="A1" s="8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0"/>
      <c r="Y1" s="10"/>
      <c r="Z1" s="10"/>
      <c r="AA1" s="10"/>
      <c r="AB1" s="10"/>
      <c r="AC1" s="10"/>
      <c r="AD1" s="10"/>
    </row>
    <row r="2" spans="1:30" x14ac:dyDescent="0.25">
      <c r="A2" s="5"/>
      <c r="B2" s="9">
        <v>43300</v>
      </c>
      <c r="C2" s="9">
        <f>B2+1</f>
        <v>43301</v>
      </c>
      <c r="D2" s="9">
        <f t="shared" ref="D2:W2" si="0">C2+1</f>
        <v>43302</v>
      </c>
      <c r="E2" s="9">
        <f t="shared" si="0"/>
        <v>43303</v>
      </c>
      <c r="F2" s="9">
        <f t="shared" si="0"/>
        <v>43304</v>
      </c>
      <c r="G2" s="9">
        <f t="shared" si="0"/>
        <v>43305</v>
      </c>
      <c r="H2" s="9">
        <f t="shared" si="0"/>
        <v>43306</v>
      </c>
      <c r="I2" s="9">
        <f t="shared" si="0"/>
        <v>43307</v>
      </c>
      <c r="J2" s="9">
        <f t="shared" si="0"/>
        <v>43308</v>
      </c>
      <c r="K2" s="9">
        <f t="shared" si="0"/>
        <v>43309</v>
      </c>
      <c r="L2" s="9">
        <f t="shared" si="0"/>
        <v>43310</v>
      </c>
      <c r="M2" s="9">
        <f t="shared" si="0"/>
        <v>43311</v>
      </c>
      <c r="N2" s="9">
        <f t="shared" si="0"/>
        <v>43312</v>
      </c>
      <c r="O2" s="9">
        <f t="shared" si="0"/>
        <v>43313</v>
      </c>
      <c r="P2" s="9">
        <f t="shared" si="0"/>
        <v>43314</v>
      </c>
      <c r="Q2" s="9">
        <f t="shared" si="0"/>
        <v>43315</v>
      </c>
      <c r="R2" s="9">
        <f t="shared" si="0"/>
        <v>43316</v>
      </c>
      <c r="S2" s="9">
        <f t="shared" si="0"/>
        <v>43317</v>
      </c>
      <c r="T2" s="9">
        <f t="shared" si="0"/>
        <v>43318</v>
      </c>
      <c r="U2" s="9">
        <f t="shared" si="0"/>
        <v>43319</v>
      </c>
      <c r="V2" s="9">
        <f t="shared" si="0"/>
        <v>43320</v>
      </c>
      <c r="W2" s="9">
        <f t="shared" si="0"/>
        <v>43321</v>
      </c>
      <c r="X2" s="9" t="s">
        <v>1</v>
      </c>
    </row>
    <row r="3" spans="1:30" x14ac:dyDescent="0.25">
      <c r="A3" s="6"/>
      <c r="B3" s="2" t="str">
        <f>CONCATENATE(MID(UPPER(TEXT(B2,"dddd")),1,3)," ",DAY(B2))</f>
        <v>JUE 19</v>
      </c>
      <c r="C3" s="2" t="str">
        <f t="shared" ref="C3:W3" si="1">CONCATENATE(MID(UPPER(TEXT(C2,"dddd")),1,3)," ",DAY(C2))</f>
        <v>VIE 20</v>
      </c>
      <c r="D3" s="2" t="str">
        <f t="shared" si="1"/>
        <v>SÁB 21</v>
      </c>
      <c r="E3" s="2" t="str">
        <f t="shared" si="1"/>
        <v>DOM 22</v>
      </c>
      <c r="F3" s="2" t="str">
        <f t="shared" si="1"/>
        <v>LUN 23</v>
      </c>
      <c r="G3" s="2" t="str">
        <f t="shared" si="1"/>
        <v>MAR 24</v>
      </c>
      <c r="H3" s="2" t="str">
        <f t="shared" si="1"/>
        <v>MIÉ 25</v>
      </c>
      <c r="I3" s="2" t="str">
        <f t="shared" si="1"/>
        <v>JUE 26</v>
      </c>
      <c r="J3" s="2" t="str">
        <f t="shared" si="1"/>
        <v>VIE 27</v>
      </c>
      <c r="K3" s="2" t="str">
        <f t="shared" si="1"/>
        <v>SÁB 28</v>
      </c>
      <c r="L3" s="2" t="str">
        <f t="shared" si="1"/>
        <v>DOM 29</v>
      </c>
      <c r="M3" s="2" t="str">
        <f t="shared" si="1"/>
        <v>LUN 30</v>
      </c>
      <c r="N3" s="2" t="str">
        <f t="shared" si="1"/>
        <v>MAR 31</v>
      </c>
      <c r="O3" s="2" t="str">
        <f t="shared" si="1"/>
        <v>MIÉ 1</v>
      </c>
      <c r="P3" s="2" t="str">
        <f t="shared" si="1"/>
        <v>JUE 2</v>
      </c>
      <c r="Q3" s="2" t="str">
        <f t="shared" si="1"/>
        <v>VIE 3</v>
      </c>
      <c r="R3" s="2" t="str">
        <f t="shared" si="1"/>
        <v>SÁB 4</v>
      </c>
      <c r="S3" s="2" t="str">
        <f t="shared" si="1"/>
        <v>DOM 5</v>
      </c>
      <c r="T3" s="2" t="str">
        <f t="shared" si="1"/>
        <v>LUN 6</v>
      </c>
      <c r="U3" s="2" t="str">
        <f t="shared" si="1"/>
        <v>MAR 7</v>
      </c>
      <c r="V3" s="2" t="str">
        <f t="shared" si="1"/>
        <v>MIÉ 8</v>
      </c>
      <c r="W3" s="2" t="str">
        <f t="shared" si="1"/>
        <v>JUE 9</v>
      </c>
      <c r="X3" s="2" t="s">
        <v>2</v>
      </c>
    </row>
    <row r="4" spans="1:30" ht="15" customHeight="1" x14ac:dyDescent="0.25">
      <c r="A4" s="11" t="s">
        <v>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2" t="s">
        <v>7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f t="shared" ref="X5:X8" si="2">AVERAGE(B5:W5)</f>
        <v>0</v>
      </c>
    </row>
    <row r="6" spans="1:30" ht="15" customHeight="1" x14ac:dyDescent="0.25">
      <c r="A6" s="12" t="s">
        <v>8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f t="shared" si="2"/>
        <v>0</v>
      </c>
    </row>
    <row r="7" spans="1:30" ht="15" customHeight="1" x14ac:dyDescent="0.25">
      <c r="A7" s="12" t="s">
        <v>9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f t="shared" si="2"/>
        <v>0</v>
      </c>
    </row>
    <row r="8" spans="1:30" ht="15" customHeight="1" x14ac:dyDescent="0.25">
      <c r="A8" s="12" t="s">
        <v>10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f t="shared" si="2"/>
        <v>0</v>
      </c>
    </row>
    <row r="9" spans="1:30" x14ac:dyDescent="0.25">
      <c r="A9" s="13" t="s">
        <v>3</v>
      </c>
      <c r="B9" s="3">
        <f>(HOUR(B5)+(MINUTE(B5)/60))+(HOUR(B6)+(MINUTE(B6)/60))+(HOUR(B7)+(MINUTE(B7)/60))+(HOUR(B8)+(MINUTE(B8)/60))</f>
        <v>0</v>
      </c>
      <c r="C9" s="3">
        <f t="shared" ref="C9:X9" si="3">(HOUR(C5)+(MINUTE(C5)/60))+(HOUR(C6)+(MINUTE(C6)/60))+(HOUR(C7)+(MINUTE(C7)/60))+(HOUR(C8)+(MINUTE(C8)/60))</f>
        <v>0</v>
      </c>
      <c r="D9" s="3">
        <f t="shared" si="3"/>
        <v>0</v>
      </c>
      <c r="E9" s="3">
        <f t="shared" si="3"/>
        <v>0</v>
      </c>
      <c r="F9" s="3">
        <f t="shared" si="3"/>
        <v>0</v>
      </c>
      <c r="G9" s="3">
        <f t="shared" si="3"/>
        <v>0</v>
      </c>
      <c r="H9" s="3">
        <f t="shared" si="3"/>
        <v>0</v>
      </c>
      <c r="I9" s="3">
        <f t="shared" si="3"/>
        <v>0</v>
      </c>
      <c r="J9" s="3">
        <f t="shared" si="3"/>
        <v>0</v>
      </c>
      <c r="K9" s="3">
        <f t="shared" si="3"/>
        <v>0</v>
      </c>
      <c r="L9" s="3">
        <f t="shared" si="3"/>
        <v>0</v>
      </c>
      <c r="M9" s="3">
        <f t="shared" si="3"/>
        <v>0</v>
      </c>
      <c r="N9" s="3">
        <f t="shared" si="3"/>
        <v>0</v>
      </c>
      <c r="O9" s="3">
        <f t="shared" si="3"/>
        <v>0</v>
      </c>
      <c r="P9" s="3">
        <f t="shared" si="3"/>
        <v>0</v>
      </c>
      <c r="Q9" s="3">
        <f t="shared" si="3"/>
        <v>0</v>
      </c>
      <c r="R9" s="3">
        <f t="shared" si="3"/>
        <v>0</v>
      </c>
      <c r="S9" s="3">
        <f t="shared" si="3"/>
        <v>0</v>
      </c>
      <c r="T9" s="3">
        <f t="shared" si="3"/>
        <v>0</v>
      </c>
      <c r="U9" s="3">
        <f t="shared" si="3"/>
        <v>0</v>
      </c>
      <c r="V9" s="3">
        <f t="shared" si="3"/>
        <v>0</v>
      </c>
      <c r="W9" s="3">
        <f t="shared" si="3"/>
        <v>0</v>
      </c>
      <c r="X9" s="3">
        <f t="shared" si="3"/>
        <v>0</v>
      </c>
    </row>
    <row r="10" spans="1:30" s="1" customFormat="1" x14ac:dyDescent="0.25">
      <c r="A10" s="7" t="s">
        <v>4</v>
      </c>
      <c r="B10" s="4" t="s">
        <v>5</v>
      </c>
      <c r="C10" s="4" t="s">
        <v>5</v>
      </c>
      <c r="D10" s="4" t="s">
        <v>5</v>
      </c>
      <c r="E10" s="4" t="s">
        <v>5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 t="s">
        <v>5</v>
      </c>
      <c r="W10" s="4"/>
    </row>
    <row r="11" spans="1:30" s="1" customForma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2018-08-17T13:01:32Z</dcterms:modified>
</cp:coreProperties>
</file>