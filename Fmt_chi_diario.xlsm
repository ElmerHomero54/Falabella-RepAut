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X9" i="2" l="1"/>
  <c r="W9" i="2"/>
  <c r="V9" i="2"/>
  <c r="U9" i="2"/>
  <c r="T9" i="2"/>
  <c r="S9" i="2"/>
  <c r="R9" i="2"/>
  <c r="Q9" i="2"/>
  <c r="P9" i="2"/>
  <c r="O9" i="2"/>
  <c r="N9" i="2"/>
  <c r="M9" i="2"/>
  <c r="L9" i="2"/>
  <c r="K9" i="2"/>
  <c r="J9" i="2"/>
  <c r="I9" i="2"/>
  <c r="H9" i="2"/>
  <c r="G9" i="2"/>
  <c r="F9" i="2"/>
  <c r="E9" i="2"/>
  <c r="D9" i="2"/>
  <c r="C9" i="2"/>
  <c r="B9" i="2"/>
  <c r="X8" i="2" l="1"/>
  <c r="X7" i="2"/>
  <c r="X6" i="2"/>
  <c r="X5" i="2"/>
  <c r="X4" i="2"/>
  <c r="C2" i="2" l="1"/>
  <c r="C3" i="2" s="1"/>
  <c r="B3" i="2"/>
  <c r="D2" i="2" l="1"/>
  <c r="E2" i="2" l="1"/>
  <c r="D3" i="2"/>
  <c r="E3" i="2" l="1"/>
  <c r="F2" i="2"/>
  <c r="G2" i="2" l="1"/>
  <c r="F3" i="2"/>
  <c r="H2" i="2" l="1"/>
  <c r="G3" i="2"/>
  <c r="H3" i="2" l="1"/>
  <c r="I2" i="2"/>
  <c r="J2" i="2" l="1"/>
  <c r="I3" i="2"/>
  <c r="K2" i="2" l="1"/>
  <c r="J3" i="2"/>
  <c r="K3" i="2" l="1"/>
  <c r="L2" i="2"/>
  <c r="M2" i="2" l="1"/>
  <c r="L3" i="2"/>
  <c r="M3" i="2" l="1"/>
  <c r="N2" i="2"/>
  <c r="O2" i="2" l="1"/>
  <c r="N3" i="2"/>
  <c r="P2" i="2" l="1"/>
  <c r="O3" i="2"/>
  <c r="P3" i="2" l="1"/>
  <c r="Q2" i="2"/>
  <c r="Q3" i="2" l="1"/>
  <c r="R2" i="2"/>
  <c r="R3" i="2" l="1"/>
  <c r="S2" i="2"/>
  <c r="S3" i="2" l="1"/>
  <c r="T2" i="2"/>
  <c r="T3" i="2" l="1"/>
  <c r="U2" i="2"/>
  <c r="V2" i="2" l="1"/>
  <c r="U3" i="2"/>
  <c r="V3" i="2" l="1"/>
  <c r="W2" i="2"/>
  <c r="W3" i="2" s="1"/>
</calcChain>
</file>

<file path=xl/sharedStrings.xml><?xml version="1.0" encoding="utf-8"?>
<sst xmlns="http://schemas.openxmlformats.org/spreadsheetml/2006/main" count="17" uniqueCount="13">
  <si>
    <t>MES</t>
  </si>
  <si>
    <t>PROM</t>
  </si>
  <si>
    <t>PMM</t>
  </si>
  <si>
    <t>TOTAL DURACION PROCESOS</t>
  </si>
  <si>
    <t>Observaciones</t>
  </si>
  <si>
    <t xml:space="preserve"> </t>
  </si>
  <si>
    <t>Hora Término Malla</t>
  </si>
  <si>
    <t>julio</t>
  </si>
  <si>
    <t>agosto</t>
  </si>
  <si>
    <t>Rep_Cont/Ext/Cyber/Sabanas</t>
  </si>
  <si>
    <t>BOD</t>
  </si>
  <si>
    <t>FOSO_Reportes_BFCO</t>
  </si>
  <si>
    <t>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</si>
</sst>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sz val="5"/>
      <color theme="1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17">
    <xf numFmtId="0" fontId="0" fillId="0" borderId="0" xfId="0"/>
    <xf numFmtId="0" fontId="0" fillId="0" borderId="0" xfId="0"/>
    <xf numFmtId="14" fontId="5" fillId="4" borderId="2" xfId="1" applyNumberFormat="1" applyFont="1" applyFill="1" applyBorder="1" applyAlignment="1">
      <alignment horizontal="center"/>
    </xf>
    <xf numFmtId="20" fontId="6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4" xfId="1" applyFont="1" applyFill="1" applyBorder="1" applyAlignment="1">
      <alignment vertical="center" wrapText="1"/>
    </xf>
    <xf numFmtId="0" fontId="3" fillId="2" borderId="3" xfId="1" applyFont="1" applyFill="1" applyBorder="1" applyAlignment="1">
      <alignment vertical="center" wrapText="1"/>
    </xf>
    <xf numFmtId="0" fontId="8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14" fontId="4" fillId="4" borderId="5" xfId="1" applyNumberFormat="1" applyFont="1" applyFill="1" applyBorder="1" applyAlignment="1">
      <alignment horizontal="center" vertical="top" wrapText="1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7" fillId="5" borderId="1" xfId="1" applyFont="1" applyFill="1" applyBorder="1" applyAlignment="1">
      <alignment vertical="center" wrapText="1"/>
    </xf>
    <xf numFmtId="0" fontId="8" fillId="5" borderId="1" xfId="1" applyFont="1" applyFill="1" applyBorder="1" applyAlignment="1">
      <alignment vertical="center"/>
    </xf>
    <xf numFmtId="17" fontId="2" fillId="3" borderId="6" xfId="1" applyNumberFormat="1" applyFont="1" applyFill="1" applyBorder="1" applyAlignment="1">
      <alignment horizontal="center" vertical="center" wrapText="1"/>
    </xf>
    <xf numFmtId="17" fontId="2" fillId="3" borderId="7" xfId="1" applyNumberFormat="1" applyFont="1" applyFill="1" applyBorder="1" applyAlignment="1">
      <alignment horizontal="center" vertical="center" wrapText="1"/>
    </xf>
    <xf numFmtId="17" fontId="2" fillId="3" borderId="8" xfId="1" applyNumberFormat="1" applyFont="1" applyFill="1" applyBorder="1" applyAlignment="1">
      <alignment horizontal="center" vertical="center" wrapText="1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Diaria Falabella FCC Colombia-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Principal!$A$5</c:f>
              <c:strCache>
                <c:ptCount val="1"/>
                <c:pt idx="0">
                  <c:v>Rep_Cont/Ext/Cyber/Sabanas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Principal!$B$5:$W$5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Principal!$A$6</c:f>
              <c:strCache>
                <c:ptCount val="1"/>
                <c:pt idx="0">
                  <c:v>BOD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Principal!$B$6:$W$6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Principal!$A$7</c:f>
              <c:strCache>
                <c:ptCount val="1"/>
                <c:pt idx="0">
                  <c:v>FOSO_Reportes_BFCO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Principal!$B$7:$W$7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Principal!$A$8</c:f>
              <c:strCache>
                <c:ptCount val="1"/>
                <c:pt idx="0">
                  <c:v>EDO</c:v>
                </c:pt>
              </c:strCache>
            </c:strRef>
          </c:tx>
          <c:invertIfNegative val="0"/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Principal!$B$8:$W$8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Principal!$A$9</c:f>
              <c:strCache>
                <c:ptCount val="1"/>
                <c:pt idx="0">
                  <c:v>TOTAL DURACION PROCESOS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Principal!$B$9:$W$9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82598144"/>
        <c:axId val="82604032"/>
      </c:barChart>
      <c:lineChart>
        <c:grouping val="standard"/>
        <c:varyColors val="0"/>
        <c:ser>
          <c:idx val="0"/>
          <c:order val="0"/>
          <c:tx>
            <c:strRef>
              <c:f>Principal!$A$4</c:f>
              <c:strCache>
                <c:ptCount val="1"/>
                <c:pt idx="0">
                  <c:v>Hora Término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Principal!$B$3:$W$3</c:f>
              <c:strCache>
                <c:ptCount val="22"/>
                <c:pt idx="0">
                  <c:v>JUE 19</c:v>
                </c:pt>
                <c:pt idx="1">
                  <c:v>VIE 20</c:v>
                </c:pt>
                <c:pt idx="2">
                  <c:v>SÁB 21</c:v>
                </c:pt>
                <c:pt idx="3">
                  <c:v>DOM 22</c:v>
                </c:pt>
                <c:pt idx="4">
                  <c:v>LUN 23</c:v>
                </c:pt>
                <c:pt idx="5">
                  <c:v>MAR 24</c:v>
                </c:pt>
                <c:pt idx="6">
                  <c:v>MIÉ 25</c:v>
                </c:pt>
                <c:pt idx="7">
                  <c:v>JUE 26</c:v>
                </c:pt>
                <c:pt idx="8">
                  <c:v>VIE 27</c:v>
                </c:pt>
                <c:pt idx="9">
                  <c:v>SÁB 28</c:v>
                </c:pt>
                <c:pt idx="10">
                  <c:v>DOM 29</c:v>
                </c:pt>
                <c:pt idx="11">
                  <c:v>LUN 30</c:v>
                </c:pt>
                <c:pt idx="12">
                  <c:v>MAR 31</c:v>
                </c:pt>
                <c:pt idx="13">
                  <c:v>MIÉ 1</c:v>
                </c:pt>
                <c:pt idx="14">
                  <c:v>JUE 2</c:v>
                </c:pt>
                <c:pt idx="15">
                  <c:v>VIE 3</c:v>
                </c:pt>
                <c:pt idx="16">
                  <c:v>SÁB 4</c:v>
                </c:pt>
                <c:pt idx="17">
                  <c:v>DOM 5</c:v>
                </c:pt>
                <c:pt idx="18">
                  <c:v>LUN 6</c:v>
                </c:pt>
                <c:pt idx="19">
                  <c:v>MAR 7</c:v>
                </c:pt>
                <c:pt idx="20">
                  <c:v>MIÉ 8</c:v>
                </c:pt>
                <c:pt idx="21">
                  <c:v>JUE 9</c:v>
                </c:pt>
              </c:strCache>
            </c:strRef>
          </c:cat>
          <c:val>
            <c:numRef>
              <c:f>Principal!$B$4:$W$4</c:f>
              <c:numCache>
                <c:formatCode>h:mm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2598144"/>
        <c:axId val="82604032"/>
      </c:lineChart>
      <c:catAx>
        <c:axId val="82598144"/>
        <c:scaling>
          <c:orientation val="minMax"/>
        </c:scaling>
        <c:delete val="0"/>
        <c:axPos val="b"/>
        <c:majorTickMark val="out"/>
        <c:minorTickMark val="none"/>
        <c:tickLblPos val="nextTo"/>
        <c:crossAx val="82604032"/>
        <c:crosses val="autoZero"/>
        <c:auto val="1"/>
        <c:lblAlgn val="ctr"/>
        <c:lblOffset val="100"/>
        <c:noMultiLvlLbl val="0"/>
      </c:catAx>
      <c:valAx>
        <c:axId val="82604032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h:mm" sourceLinked="1"/>
        <c:majorTickMark val="out"/>
        <c:minorTickMark val="none"/>
        <c:tickLblPos val="nextTo"/>
        <c:crossAx val="82598144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12</xdr:row>
      <xdr:rowOff>23810</xdr:rowOff>
    </xdr:from>
    <xdr:to>
      <xdr:col>34</xdr:col>
      <xdr:colOff>495300</xdr:colOff>
      <xdr:row>41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D11"/>
  <sheetViews>
    <sheetView tabSelected="1" workbookViewId="0">
      <selection activeCell="D9" sqref="D9"/>
    </sheetView>
  </sheetViews>
  <sheetFormatPr baseColWidth="10" defaultRowHeight="15" x14ac:dyDescent="0.25"/>
  <cols>
    <col min="1" max="1" width="30" bestFit="1" customWidth="1"/>
  </cols>
  <sheetData>
    <row r="1" spans="1:30" ht="15.75" thickBot="1" x14ac:dyDescent="0.3">
      <c r="A1" s="8" t="s">
        <v>0</v>
      </c>
      <c r="B1" s="14" t="s">
        <v>7</v>
      </c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4" t="s">
        <v>8</v>
      </c>
      <c r="P1" s="15"/>
      <c r="Q1" s="15"/>
      <c r="R1" s="15"/>
      <c r="S1" s="15"/>
      <c r="T1" s="15"/>
      <c r="U1" s="15"/>
      <c r="V1" s="15"/>
      <c r="W1" s="16"/>
      <c r="X1" s="10"/>
      <c r="Y1" s="10"/>
      <c r="Z1" s="10"/>
      <c r="AA1" s="10"/>
      <c r="AB1" s="10"/>
      <c r="AC1" s="10"/>
      <c r="AD1" s="10"/>
    </row>
    <row r="2" spans="1:30" x14ac:dyDescent="0.25">
      <c r="A2" s="5"/>
      <c r="B2" s="9">
        <v>43300</v>
      </c>
      <c r="C2" s="9">
        <f>B2+1</f>
        <v>43301</v>
      </c>
      <c r="D2" s="9">
        <f t="shared" ref="D2:W2" si="0">C2+1</f>
        <v>43302</v>
      </c>
      <c r="E2" s="9">
        <f t="shared" si="0"/>
        <v>43303</v>
      </c>
      <c r="F2" s="9">
        <f t="shared" si="0"/>
        <v>43304</v>
      </c>
      <c r="G2" s="9">
        <f t="shared" si="0"/>
        <v>43305</v>
      </c>
      <c r="H2" s="9">
        <f t="shared" si="0"/>
        <v>43306</v>
      </c>
      <c r="I2" s="9">
        <f t="shared" si="0"/>
        <v>43307</v>
      </c>
      <c r="J2" s="9">
        <f t="shared" si="0"/>
        <v>43308</v>
      </c>
      <c r="K2" s="9">
        <f t="shared" si="0"/>
        <v>43309</v>
      </c>
      <c r="L2" s="9">
        <f t="shared" si="0"/>
        <v>43310</v>
      </c>
      <c r="M2" s="9">
        <f t="shared" si="0"/>
        <v>43311</v>
      </c>
      <c r="N2" s="9">
        <f t="shared" si="0"/>
        <v>43312</v>
      </c>
      <c r="O2" s="9">
        <f t="shared" si="0"/>
        <v>43313</v>
      </c>
      <c r="P2" s="9">
        <f t="shared" si="0"/>
        <v>43314</v>
      </c>
      <c r="Q2" s="9">
        <f t="shared" si="0"/>
        <v>43315</v>
      </c>
      <c r="R2" s="9">
        <f t="shared" si="0"/>
        <v>43316</v>
      </c>
      <c r="S2" s="9">
        <f t="shared" si="0"/>
        <v>43317</v>
      </c>
      <c r="T2" s="9">
        <f t="shared" si="0"/>
        <v>43318</v>
      </c>
      <c r="U2" s="9">
        <f t="shared" si="0"/>
        <v>43319</v>
      </c>
      <c r="V2" s="9">
        <f t="shared" si="0"/>
        <v>43320</v>
      </c>
      <c r="W2" s="9">
        <f t="shared" si="0"/>
        <v>43321</v>
      </c>
      <c r="X2" s="9" t="s">
        <v>1</v>
      </c>
    </row>
    <row r="3" spans="1:30" x14ac:dyDescent="0.25">
      <c r="A3" s="6"/>
      <c r="B3" s="2" t="str">
        <f>CONCATENATE(MID(UPPER(TEXT(B2,"dddd")),1,3)," ",DAY(B2))</f>
        <v>JUE 19</v>
      </c>
      <c r="C3" s="2" t="str">
        <f t="shared" ref="C3:W3" si="1">CONCATENATE(MID(UPPER(TEXT(C2,"dddd")),1,3)," ",DAY(C2))</f>
        <v>VIE 20</v>
      </c>
      <c r="D3" s="2" t="str">
        <f t="shared" si="1"/>
        <v>SÁB 21</v>
      </c>
      <c r="E3" s="2" t="str">
        <f t="shared" si="1"/>
        <v>DOM 22</v>
      </c>
      <c r="F3" s="2" t="str">
        <f t="shared" si="1"/>
        <v>LUN 23</v>
      </c>
      <c r="G3" s="2" t="str">
        <f t="shared" si="1"/>
        <v>MAR 24</v>
      </c>
      <c r="H3" s="2" t="str">
        <f t="shared" si="1"/>
        <v>MIÉ 25</v>
      </c>
      <c r="I3" s="2" t="str">
        <f t="shared" si="1"/>
        <v>JUE 26</v>
      </c>
      <c r="J3" s="2" t="str">
        <f t="shared" si="1"/>
        <v>VIE 27</v>
      </c>
      <c r="K3" s="2" t="str">
        <f t="shared" si="1"/>
        <v>SÁB 28</v>
      </c>
      <c r="L3" s="2" t="str">
        <f t="shared" si="1"/>
        <v>DOM 29</v>
      </c>
      <c r="M3" s="2" t="str">
        <f t="shared" si="1"/>
        <v>LUN 30</v>
      </c>
      <c r="N3" s="2" t="str">
        <f t="shared" si="1"/>
        <v>MAR 31</v>
      </c>
      <c r="O3" s="2" t="str">
        <f t="shared" si="1"/>
        <v>MIÉ 1</v>
      </c>
      <c r="P3" s="2" t="str">
        <f t="shared" si="1"/>
        <v>JUE 2</v>
      </c>
      <c r="Q3" s="2" t="str">
        <f t="shared" si="1"/>
        <v>VIE 3</v>
      </c>
      <c r="R3" s="2" t="str">
        <f t="shared" si="1"/>
        <v>SÁB 4</v>
      </c>
      <c r="S3" s="2" t="str">
        <f t="shared" si="1"/>
        <v>DOM 5</v>
      </c>
      <c r="T3" s="2" t="str">
        <f t="shared" si="1"/>
        <v>LUN 6</v>
      </c>
      <c r="U3" s="2" t="str">
        <f t="shared" si="1"/>
        <v>MAR 7</v>
      </c>
      <c r="V3" s="2" t="str">
        <f t="shared" si="1"/>
        <v>MIÉ 8</v>
      </c>
      <c r="W3" s="2" t="str">
        <f t="shared" si="1"/>
        <v>JUE 9</v>
      </c>
      <c r="X3" s="2" t="s">
        <v>2</v>
      </c>
    </row>
    <row r="4" spans="1:30" ht="15" customHeight="1" x14ac:dyDescent="0.25">
      <c r="A4" s="11" t="s">
        <v>6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f>AVERAGE(B4:W4)</f>
        <v>0</v>
      </c>
    </row>
    <row r="5" spans="1:30" ht="15" customHeight="1" x14ac:dyDescent="0.25">
      <c r="A5" s="12" t="s">
        <v>9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f t="shared" ref="X5:X8" si="2">AVERAGE(B5:W5)</f>
        <v>0</v>
      </c>
    </row>
    <row r="6" spans="1:30" ht="15" customHeight="1" x14ac:dyDescent="0.25">
      <c r="A6" s="12" t="s">
        <v>10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f t="shared" si="2"/>
        <v>0</v>
      </c>
    </row>
    <row r="7" spans="1:30" ht="15" customHeight="1" x14ac:dyDescent="0.25">
      <c r="A7" s="12" t="s">
        <v>11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f t="shared" si="2"/>
        <v>0</v>
      </c>
    </row>
    <row r="8" spans="1:30" ht="15" customHeight="1" x14ac:dyDescent="0.25">
      <c r="A8" s="12" t="s">
        <v>12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f t="shared" si="2"/>
        <v>0</v>
      </c>
    </row>
    <row r="9" spans="1:30" x14ac:dyDescent="0.25">
      <c r="A9" s="13" t="s">
        <v>3</v>
      </c>
      <c r="B9" s="3">
        <f>(HOUR(B5)+(MINUTE(B5)/60))+(HOUR(B6)+(MINUTE(B6)/60))+(HOUR(B7)+(MINUTE(B7)/60))+(HOUR(B8)+(MINUTE(B8)/60))</f>
        <v>0</v>
      </c>
      <c r="C9" s="3">
        <f t="shared" ref="C9:X9" si="3">(HOUR(C5)+(MINUTE(C5)/60))+(HOUR(C6)+(MINUTE(C6)/60))+(HOUR(C7)+(MINUTE(C7)/60))+(HOUR(C8)+(MINUTE(C8)/60))</f>
        <v>0</v>
      </c>
      <c r="D9" s="3">
        <f t="shared" si="3"/>
        <v>0</v>
      </c>
      <c r="E9" s="3">
        <f t="shared" si="3"/>
        <v>0</v>
      </c>
      <c r="F9" s="3">
        <f t="shared" si="3"/>
        <v>0</v>
      </c>
      <c r="G9" s="3">
        <f t="shared" si="3"/>
        <v>0</v>
      </c>
      <c r="H9" s="3">
        <f t="shared" si="3"/>
        <v>0</v>
      </c>
      <c r="I9" s="3">
        <f t="shared" si="3"/>
        <v>0</v>
      </c>
      <c r="J9" s="3">
        <f t="shared" si="3"/>
        <v>0</v>
      </c>
      <c r="K9" s="3">
        <f t="shared" si="3"/>
        <v>0</v>
      </c>
      <c r="L9" s="3">
        <f t="shared" si="3"/>
        <v>0</v>
      </c>
      <c r="M9" s="3">
        <f t="shared" si="3"/>
        <v>0</v>
      </c>
      <c r="N9" s="3">
        <f t="shared" si="3"/>
        <v>0</v>
      </c>
      <c r="O9" s="3">
        <f t="shared" si="3"/>
        <v>0</v>
      </c>
      <c r="P9" s="3">
        <f t="shared" si="3"/>
        <v>0</v>
      </c>
      <c r="Q9" s="3">
        <f t="shared" si="3"/>
        <v>0</v>
      </c>
      <c r="R9" s="3">
        <f t="shared" si="3"/>
        <v>0</v>
      </c>
      <c r="S9" s="3">
        <f t="shared" si="3"/>
        <v>0</v>
      </c>
      <c r="T9" s="3">
        <f t="shared" si="3"/>
        <v>0</v>
      </c>
      <c r="U9" s="3">
        <f t="shared" si="3"/>
        <v>0</v>
      </c>
      <c r="V9" s="3">
        <f t="shared" si="3"/>
        <v>0</v>
      </c>
      <c r="W9" s="3">
        <f t="shared" si="3"/>
        <v>0</v>
      </c>
      <c r="X9" s="3">
        <f t="shared" si="3"/>
        <v>0</v>
      </c>
    </row>
    <row r="10" spans="1:30" s="1" customFormat="1" x14ac:dyDescent="0.25">
      <c r="A10" s="7" t="s">
        <v>4</v>
      </c>
      <c r="B10" s="4" t="s">
        <v>5</v>
      </c>
      <c r="C10" s="4" t="s">
        <v>5</v>
      </c>
      <c r="D10" s="4" t="s">
        <v>5</v>
      </c>
      <c r="E10" s="4" t="s">
        <v>5</v>
      </c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 t="s">
        <v>5</v>
      </c>
      <c r="W10" s="4"/>
    </row>
    <row r="11" spans="1:30" s="1" customFormat="1" x14ac:dyDescent="0.25"/>
  </sheetData>
  <mergeCells count="2">
    <mergeCell ref="B1:N1"/>
    <mergeCell ref="O1:W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2018-08-16T19:39:03Z</dcterms:modified>
</cp:coreProperties>
</file>