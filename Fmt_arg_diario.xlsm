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Principal" sheetId="2" r:id="rId1"/>
  </sheets>
  <calcPr calcId="145621"/>
</workbook>
</file>

<file path=xl/calcChain.xml><?xml version="1.0" encoding="utf-8"?>
<calcChain xmlns="http://schemas.openxmlformats.org/spreadsheetml/2006/main">
  <c r="X11" i="2" l="1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X10" i="2" l="1"/>
  <c r="X9" i="2"/>
  <c r="X8" i="2"/>
  <c r="X7" i="2"/>
  <c r="X6" i="2"/>
  <c r="X5" i="2"/>
  <c r="X4" i="2"/>
  <c r="C2" i="2" l="1"/>
  <c r="C3" i="2" s="1"/>
  <c r="B3" i="2"/>
  <c r="D2" i="2" l="1"/>
  <c r="E2" i="2" l="1"/>
  <c r="D3" i="2"/>
  <c r="E3" i="2" l="1"/>
  <c r="F2" i="2"/>
  <c r="G2" i="2" l="1"/>
  <c r="F3" i="2"/>
  <c r="H2" i="2" l="1"/>
  <c r="G3" i="2"/>
  <c r="H3" i="2" l="1"/>
  <c r="I2" i="2"/>
  <c r="J2" i="2" l="1"/>
  <c r="I3" i="2"/>
  <c r="K2" i="2" l="1"/>
  <c r="J3" i="2"/>
  <c r="K3" i="2" l="1"/>
  <c r="L2" i="2"/>
  <c r="M2" i="2" l="1"/>
  <c r="L3" i="2"/>
  <c r="M3" i="2" l="1"/>
  <c r="N2" i="2"/>
  <c r="O2" i="2" l="1"/>
  <c r="N3" i="2"/>
  <c r="P2" i="2" l="1"/>
  <c r="O3" i="2"/>
  <c r="P3" i="2" l="1"/>
  <c r="Q2" i="2"/>
  <c r="Q3" i="2" l="1"/>
  <c r="R2" i="2"/>
  <c r="R3" i="2" l="1"/>
  <c r="S2" i="2"/>
  <c r="S3" i="2" l="1"/>
  <c r="T2" i="2"/>
  <c r="T3" i="2" l="1"/>
  <c r="U2" i="2"/>
  <c r="V2" i="2" l="1"/>
  <c r="U3" i="2"/>
  <c r="V3" i="2" l="1"/>
  <c r="W2" i="2"/>
  <c r="W3" i="2" s="1"/>
</calcChain>
</file>

<file path=xl/sharedStrings.xml><?xml version="1.0" encoding="utf-8"?>
<sst xmlns="http://schemas.openxmlformats.org/spreadsheetml/2006/main" count="17" uniqueCount="13">
  <si>
    <t>MES</t>
  </si>
  <si>
    <t>PROM</t>
  </si>
  <si>
    <t>PMM</t>
  </si>
  <si>
    <t>TOTAL DURACION PROCESOS</t>
  </si>
  <si>
    <t>Observaciones</t>
  </si>
  <si>
    <t xml:space="preserve"> </t>
  </si>
  <si>
    <t>SFC</t>
  </si>
  <si>
    <t>ODS</t>
  </si>
  <si>
    <t>SAT</t>
  </si>
  <si>
    <t>TDS</t>
  </si>
  <si>
    <t>FCC</t>
  </si>
  <si>
    <t>CMR</t>
  </si>
  <si>
    <t>Hora Término Malla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</si>
</sst>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hh]:mm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ahoma"/>
      <family val="2"/>
    </font>
    <font>
      <sz val="5"/>
      <color theme="1"/>
      <name val="Tahoma"/>
      <family val="2"/>
    </font>
    <font>
      <b/>
      <sz val="7"/>
      <color theme="1" tint="4.9989318521683403E-2"/>
      <name val="Arial"/>
      <family val="2"/>
    </font>
    <font>
      <sz val="9"/>
      <color theme="1"/>
      <name val="Calibri"/>
      <family val="2"/>
      <scheme val="minor"/>
    </font>
    <font>
      <b/>
      <sz val="10"/>
      <color theme="1"/>
      <name val="Tahoma"/>
      <family val="2"/>
    </font>
    <font>
      <b/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0" fillId="0" borderId="0" xfId="0"/>
    <xf numFmtId="14" fontId="5" fillId="4" borderId="2" xfId="1" applyNumberFormat="1" applyFont="1" applyFill="1" applyBorder="1" applyAlignment="1">
      <alignment horizontal="center"/>
    </xf>
    <xf numFmtId="20" fontId="6" fillId="5" borderId="2" xfId="1" applyNumberFormat="1" applyFont="1" applyFill="1" applyBorder="1" applyAlignment="1">
      <alignment horizontal="center"/>
    </xf>
    <xf numFmtId="0" fontId="1" fillId="0" borderId="2" xfId="1" applyFont="1" applyBorder="1" applyAlignment="1">
      <alignment horizontal="center"/>
    </xf>
    <xf numFmtId="0" fontId="3" fillId="2" borderId="4" xfId="1" applyFont="1" applyFill="1" applyBorder="1" applyAlignment="1">
      <alignment vertical="center" wrapText="1"/>
    </xf>
    <xf numFmtId="0" fontId="3" fillId="2" borderId="3" xfId="1" applyFont="1" applyFill="1" applyBorder="1" applyAlignment="1">
      <alignment vertical="center" wrapText="1"/>
    </xf>
    <xf numFmtId="0" fontId="8" fillId="0" borderId="1" xfId="1" applyFont="1" applyFill="1" applyBorder="1" applyAlignment="1">
      <alignment vertical="center"/>
    </xf>
    <xf numFmtId="0" fontId="3" fillId="2" borderId="1" xfId="1" applyFont="1" applyFill="1" applyBorder="1" applyAlignment="1">
      <alignment horizontal="center" vertical="center"/>
    </xf>
    <xf numFmtId="14" fontId="4" fillId="4" borderId="5" xfId="1" applyNumberFormat="1" applyFont="1" applyFill="1" applyBorder="1" applyAlignment="1">
      <alignment horizontal="center" vertical="top" wrapText="1"/>
    </xf>
    <xf numFmtId="17" fontId="2" fillId="3" borderId="0" xfId="1" applyNumberFormat="1" applyFont="1" applyFill="1" applyBorder="1" applyAlignment="1">
      <alignment vertical="center" wrapText="1"/>
    </xf>
    <xf numFmtId="0" fontId="0" fillId="0" borderId="0" xfId="0" applyBorder="1"/>
    <xf numFmtId="0" fontId="3" fillId="5" borderId="1" xfId="1" applyFont="1" applyFill="1" applyBorder="1" applyAlignment="1">
      <alignment vertical="center" wrapText="1"/>
    </xf>
    <xf numFmtId="0" fontId="7" fillId="5" borderId="1" xfId="1" applyFont="1" applyFill="1" applyBorder="1" applyAlignment="1">
      <alignment vertical="center" wrapText="1"/>
    </xf>
    <xf numFmtId="0" fontId="3" fillId="5" borderId="1" xfId="1" applyFont="1" applyFill="1" applyBorder="1" applyAlignment="1">
      <alignment vertical="center"/>
    </xf>
    <xf numFmtId="0" fontId="8" fillId="5" borderId="1" xfId="1" applyFont="1" applyFill="1" applyBorder="1" applyAlignment="1">
      <alignment vertical="center"/>
    </xf>
    <xf numFmtId="164" fontId="6" fillId="5" borderId="2" xfId="1" applyNumberFormat="1" applyFont="1" applyFill="1" applyBorder="1" applyAlignment="1">
      <alignment horizontal="center"/>
    </xf>
  </cellXfs>
  <cellStyles count="2">
    <cellStyle name="Normal" xfId="0" builtinId="0"/>
    <cellStyle name="Normal 7" xfId="1"/>
  </cellStyles>
  <dxfs count="0"/>
  <tableStyles count="0" defaultTableStyle="TableStyleMedium2" defaultPivotStyle="PivotStyleLight16"/>
  <colors>
    <mruColors>
      <color rgb="FFFFF7DD"/>
      <color rgb="FFFFDA65"/>
      <color rgb="FFA4A45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 sz="1800" b="1" i="0" baseline="0">
                <a:effectLst/>
              </a:rPr>
              <a:t>Malla Diaria Falabella Argentina - Tiempos de procesos y Horario de Término Malla</a:t>
            </a:r>
            <a:endParaRPr lang="es-CL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Principal!$A$5</c:f>
              <c:strCache>
                <c:ptCount val="1"/>
                <c:pt idx="0">
                  <c:v>TDS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Principal!$B$5:$W$5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2"/>
          <c:order val="2"/>
          <c:tx>
            <c:strRef>
              <c:f>Principal!$A$6</c:f>
              <c:strCache>
                <c:ptCount val="1"/>
                <c:pt idx="0">
                  <c:v>SAT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Principal!$B$6:$W$6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3"/>
          <c:order val="3"/>
          <c:tx>
            <c:strRef>
              <c:f>Principal!$A$7</c:f>
              <c:strCache>
                <c:ptCount val="1"/>
                <c:pt idx="0">
                  <c:v>ODS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Principal!$B$7:$W$7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4"/>
          <c:order val="4"/>
          <c:tx>
            <c:strRef>
              <c:f>Principal!$A$8</c:f>
              <c:strCache>
                <c:ptCount val="1"/>
                <c:pt idx="0">
                  <c:v>SFC</c:v>
                </c:pt>
              </c:strCache>
            </c:strRef>
          </c:tx>
          <c:invertIfNegative val="0"/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Principal!$B$8:$W$8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5"/>
          <c:order val="5"/>
          <c:tx>
            <c:strRef>
              <c:f>Principal!$A$9</c:f>
              <c:strCache>
                <c:ptCount val="1"/>
                <c:pt idx="0">
                  <c:v>FCC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5:29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Principal!$B$9:$W$9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6"/>
          <c:order val="6"/>
          <c:tx>
            <c:strRef>
              <c:f>Principal!$A$10</c:f>
              <c:strCache>
                <c:ptCount val="1"/>
                <c:pt idx="0">
                  <c:v>CMR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Principal!$B$10:$W$10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88669568"/>
        <c:axId val="88691840"/>
      </c:barChart>
      <c:lineChart>
        <c:grouping val="standard"/>
        <c:varyColors val="0"/>
        <c:ser>
          <c:idx val="0"/>
          <c:order val="0"/>
          <c:tx>
            <c:strRef>
              <c:f>Principal!$A$4</c:f>
              <c:strCache>
                <c:ptCount val="1"/>
                <c:pt idx="0">
                  <c:v>Hora Término Malla</c:v>
                </c:pt>
              </c:strCache>
            </c:strRef>
          </c:tx>
          <c:marker>
            <c:symbol val="circle"/>
            <c:size val="5"/>
          </c:marker>
          <c:dLbls>
            <c:spPr>
              <a:solidFill>
                <a:schemeClr val="bg2">
                  <a:lumMod val="90000"/>
                </a:schemeClr>
              </a:solidFill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Principal!$B$4:$W$4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Principal!$A$11</c:f>
              <c:strCache>
                <c:ptCount val="1"/>
                <c:pt idx="0">
                  <c:v>TOTAL DURACION PROCESOS</c:v>
                </c:pt>
              </c:strCache>
            </c:strRef>
          </c:tx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Principal!$B$11:$W$11</c:f>
              <c:numCache>
                <c:formatCode>[hh]:mm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669568"/>
        <c:axId val="88691840"/>
      </c:lineChart>
      <c:catAx>
        <c:axId val="88669568"/>
        <c:scaling>
          <c:orientation val="minMax"/>
        </c:scaling>
        <c:delete val="0"/>
        <c:axPos val="b"/>
        <c:majorTickMark val="out"/>
        <c:minorTickMark val="none"/>
        <c:tickLblPos val="nextTo"/>
        <c:crossAx val="88691840"/>
        <c:crosses val="autoZero"/>
        <c:auto val="1"/>
        <c:lblAlgn val="ctr"/>
        <c:lblOffset val="100"/>
        <c:noMultiLvlLbl val="0"/>
      </c:catAx>
      <c:valAx>
        <c:axId val="88691840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Total Duración de Procesos</a:t>
                </a:r>
              </a:p>
            </c:rich>
          </c:tx>
          <c:layout/>
          <c:overlay val="0"/>
        </c:title>
        <c:numFmt formatCode="[hh]:mm" sourceLinked="1"/>
        <c:majorTickMark val="out"/>
        <c:minorTickMark val="none"/>
        <c:tickLblPos val="nextTo"/>
        <c:crossAx val="8866956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752475</xdr:colOff>
      <xdr:row>14</xdr:row>
      <xdr:rowOff>23810</xdr:rowOff>
    </xdr:from>
    <xdr:to>
      <xdr:col>34</xdr:col>
      <xdr:colOff>495300</xdr:colOff>
      <xdr:row>43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D13"/>
  <sheetViews>
    <sheetView tabSelected="1" workbookViewId="0">
      <selection activeCell="C8" sqref="C8"/>
    </sheetView>
  </sheetViews>
  <sheetFormatPr baseColWidth="10" defaultRowHeight="15" x14ac:dyDescent="0.25"/>
  <cols>
    <col min="1" max="1" width="23.7109375" bestFit="1" customWidth="1"/>
  </cols>
  <sheetData>
    <row r="1" spans="1:30" x14ac:dyDescent="0.25">
      <c r="A1" s="8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1"/>
      <c r="Y1" s="11"/>
      <c r="Z1" s="11"/>
      <c r="AA1" s="11"/>
      <c r="AB1" s="11"/>
      <c r="AC1" s="11"/>
      <c r="AD1" s="11"/>
    </row>
    <row r="2" spans="1:30" x14ac:dyDescent="0.25">
      <c r="A2" s="5"/>
      <c r="B2" s="9">
        <v>43300</v>
      </c>
      <c r="C2" s="9">
        <f>B2+1</f>
        <v>43301</v>
      </c>
      <c r="D2" s="9">
        <f t="shared" ref="D2:W2" si="0">C2+1</f>
        <v>43302</v>
      </c>
      <c r="E2" s="9">
        <f t="shared" si="0"/>
        <v>43303</v>
      </c>
      <c r="F2" s="9">
        <f t="shared" si="0"/>
        <v>43304</v>
      </c>
      <c r="G2" s="9">
        <f t="shared" si="0"/>
        <v>43305</v>
      </c>
      <c r="H2" s="9">
        <f t="shared" si="0"/>
        <v>43306</v>
      </c>
      <c r="I2" s="9">
        <f t="shared" si="0"/>
        <v>43307</v>
      </c>
      <c r="J2" s="9">
        <f t="shared" si="0"/>
        <v>43308</v>
      </c>
      <c r="K2" s="9">
        <f t="shared" si="0"/>
        <v>43309</v>
      </c>
      <c r="L2" s="9">
        <f t="shared" si="0"/>
        <v>43310</v>
      </c>
      <c r="M2" s="9">
        <f t="shared" si="0"/>
        <v>43311</v>
      </c>
      <c r="N2" s="9">
        <f t="shared" si="0"/>
        <v>43312</v>
      </c>
      <c r="O2" s="9">
        <f t="shared" si="0"/>
        <v>43313</v>
      </c>
      <c r="P2" s="9">
        <f t="shared" si="0"/>
        <v>43314</v>
      </c>
      <c r="Q2" s="9">
        <f t="shared" si="0"/>
        <v>43315</v>
      </c>
      <c r="R2" s="9">
        <f t="shared" si="0"/>
        <v>43316</v>
      </c>
      <c r="S2" s="9">
        <f t="shared" si="0"/>
        <v>43317</v>
      </c>
      <c r="T2" s="9">
        <f t="shared" si="0"/>
        <v>43318</v>
      </c>
      <c r="U2" s="9">
        <f t="shared" si="0"/>
        <v>43319</v>
      </c>
      <c r="V2" s="9">
        <f t="shared" si="0"/>
        <v>43320</v>
      </c>
      <c r="W2" s="9">
        <f t="shared" si="0"/>
        <v>43321</v>
      </c>
      <c r="X2" s="9" t="s">
        <v>1</v>
      </c>
    </row>
    <row r="3" spans="1:30" x14ac:dyDescent="0.25">
      <c r="A3" s="6"/>
      <c r="B3" s="2" t="str">
        <f>CONCATENATE(MID(UPPER(TEXT(B2,"dddd")),1,3)," ",DAY(B2))</f>
        <v>JUE 19</v>
      </c>
      <c r="C3" s="2" t="str">
        <f t="shared" ref="C3:W3" si="1">CONCATENATE(MID(UPPER(TEXT(C2,"dddd")),1,3)," ",DAY(C2))</f>
        <v>VIE 20</v>
      </c>
      <c r="D3" s="2" t="str">
        <f t="shared" si="1"/>
        <v>SÁB 21</v>
      </c>
      <c r="E3" s="2" t="str">
        <f t="shared" si="1"/>
        <v>DOM 22</v>
      </c>
      <c r="F3" s="2" t="str">
        <f t="shared" si="1"/>
        <v>LUN 23</v>
      </c>
      <c r="G3" s="2" t="str">
        <f t="shared" si="1"/>
        <v>MAR 24</v>
      </c>
      <c r="H3" s="2" t="str">
        <f t="shared" si="1"/>
        <v>MIÉ 25</v>
      </c>
      <c r="I3" s="2" t="str">
        <f t="shared" si="1"/>
        <v>JUE 26</v>
      </c>
      <c r="J3" s="2" t="str">
        <f t="shared" si="1"/>
        <v>VIE 27</v>
      </c>
      <c r="K3" s="2" t="str">
        <f t="shared" si="1"/>
        <v>SÁB 28</v>
      </c>
      <c r="L3" s="2" t="str">
        <f t="shared" si="1"/>
        <v>DOM 29</v>
      </c>
      <c r="M3" s="2" t="str">
        <f t="shared" si="1"/>
        <v>LUN 30</v>
      </c>
      <c r="N3" s="2" t="str">
        <f t="shared" si="1"/>
        <v>MAR 31</v>
      </c>
      <c r="O3" s="2" t="str">
        <f t="shared" si="1"/>
        <v>MIÉ 1</v>
      </c>
      <c r="P3" s="2" t="str">
        <f t="shared" si="1"/>
        <v>JUE 2</v>
      </c>
      <c r="Q3" s="2" t="str">
        <f t="shared" si="1"/>
        <v>VIE 3</v>
      </c>
      <c r="R3" s="2" t="str">
        <f t="shared" si="1"/>
        <v>SÁB 4</v>
      </c>
      <c r="S3" s="2" t="str">
        <f t="shared" si="1"/>
        <v>DOM 5</v>
      </c>
      <c r="T3" s="2" t="str">
        <f t="shared" si="1"/>
        <v>LUN 6</v>
      </c>
      <c r="U3" s="2" t="str">
        <f t="shared" si="1"/>
        <v>MAR 7</v>
      </c>
      <c r="V3" s="2" t="str">
        <f t="shared" si="1"/>
        <v>MIÉ 8</v>
      </c>
      <c r="W3" s="2" t="str">
        <f t="shared" si="1"/>
        <v>JUE 9</v>
      </c>
      <c r="X3" s="2" t="s">
        <v>2</v>
      </c>
    </row>
    <row r="4" spans="1:30" ht="15" customHeight="1" x14ac:dyDescent="0.25">
      <c r="A4" s="12" t="s">
        <v>12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f>AVERAGE(B4:W4)</f>
        <v>0</v>
      </c>
    </row>
    <row r="5" spans="1:30" ht="15" customHeight="1" x14ac:dyDescent="0.25">
      <c r="A5" s="13" t="s">
        <v>9</v>
      </c>
      <c r="B5" s="16">
        <v>0</v>
      </c>
      <c r="C5" s="16">
        <v>0</v>
      </c>
      <c r="D5" s="16">
        <v>0</v>
      </c>
      <c r="E5" s="16">
        <v>0</v>
      </c>
      <c r="F5" s="16">
        <v>0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v>0</v>
      </c>
      <c r="W5" s="16">
        <v>0</v>
      </c>
      <c r="X5" s="16">
        <f t="shared" ref="X5:X10" si="2">AVERAGE(B5:W5)</f>
        <v>0</v>
      </c>
    </row>
    <row r="6" spans="1:30" ht="15" customHeight="1" x14ac:dyDescent="0.25">
      <c r="A6" s="13" t="s">
        <v>8</v>
      </c>
      <c r="B6" s="16">
        <v>0</v>
      </c>
      <c r="C6" s="16">
        <v>0</v>
      </c>
      <c r="D6" s="16">
        <v>0</v>
      </c>
      <c r="E6" s="16">
        <v>0</v>
      </c>
      <c r="F6" s="16">
        <v>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6">
        <v>0</v>
      </c>
      <c r="T6" s="16">
        <v>0</v>
      </c>
      <c r="U6" s="16">
        <v>0</v>
      </c>
      <c r="V6" s="16">
        <v>0</v>
      </c>
      <c r="W6" s="16">
        <v>0</v>
      </c>
      <c r="X6" s="16">
        <f t="shared" si="2"/>
        <v>0</v>
      </c>
    </row>
    <row r="7" spans="1:30" ht="15" customHeight="1" x14ac:dyDescent="0.25">
      <c r="A7" s="13" t="s">
        <v>7</v>
      </c>
      <c r="B7" s="16">
        <v>0</v>
      </c>
      <c r="C7" s="16">
        <v>0</v>
      </c>
      <c r="D7" s="16">
        <v>0</v>
      </c>
      <c r="E7" s="16">
        <v>0</v>
      </c>
      <c r="F7" s="16">
        <v>0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v>0</v>
      </c>
      <c r="W7" s="16">
        <v>0</v>
      </c>
      <c r="X7" s="16">
        <f t="shared" si="2"/>
        <v>0</v>
      </c>
    </row>
    <row r="8" spans="1:30" ht="15" customHeight="1" x14ac:dyDescent="0.25">
      <c r="A8" s="13" t="s">
        <v>6</v>
      </c>
      <c r="B8" s="16">
        <v>0</v>
      </c>
      <c r="C8" s="16">
        <v>0</v>
      </c>
      <c r="D8" s="16">
        <v>0</v>
      </c>
      <c r="E8" s="16">
        <v>0</v>
      </c>
      <c r="F8" s="16">
        <v>0</v>
      </c>
      <c r="G8" s="16">
        <v>0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6">
        <v>0</v>
      </c>
      <c r="P8" s="16">
        <v>0</v>
      </c>
      <c r="Q8" s="16">
        <v>0</v>
      </c>
      <c r="R8" s="16">
        <v>0</v>
      </c>
      <c r="S8" s="16">
        <v>0</v>
      </c>
      <c r="T8" s="16">
        <v>0</v>
      </c>
      <c r="U8" s="16">
        <v>0</v>
      </c>
      <c r="V8" s="16">
        <v>0</v>
      </c>
      <c r="W8" s="16">
        <v>0</v>
      </c>
      <c r="X8" s="16">
        <f t="shared" si="2"/>
        <v>0</v>
      </c>
    </row>
    <row r="9" spans="1:30" x14ac:dyDescent="0.25">
      <c r="A9" s="14" t="s">
        <v>10</v>
      </c>
      <c r="B9" s="16">
        <v>0</v>
      </c>
      <c r="C9" s="16">
        <v>0</v>
      </c>
      <c r="D9" s="16">
        <v>0</v>
      </c>
      <c r="E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v>0</v>
      </c>
      <c r="W9" s="16">
        <v>0</v>
      </c>
      <c r="X9" s="16">
        <f t="shared" si="2"/>
        <v>0</v>
      </c>
    </row>
    <row r="10" spans="1:30" x14ac:dyDescent="0.25">
      <c r="A10" s="14" t="s">
        <v>11</v>
      </c>
      <c r="B10" s="16">
        <v>0</v>
      </c>
      <c r="C10" s="16">
        <v>0</v>
      </c>
      <c r="D10" s="16">
        <v>0</v>
      </c>
      <c r="E10" s="16">
        <v>0</v>
      </c>
      <c r="F10" s="16">
        <v>0</v>
      </c>
      <c r="G10" s="16">
        <v>0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6">
        <v>0</v>
      </c>
      <c r="P10" s="16">
        <v>0</v>
      </c>
      <c r="Q10" s="16">
        <v>0</v>
      </c>
      <c r="R10" s="16">
        <v>0</v>
      </c>
      <c r="S10" s="16">
        <v>0</v>
      </c>
      <c r="T10" s="16">
        <v>0</v>
      </c>
      <c r="U10" s="16">
        <v>0</v>
      </c>
      <c r="V10" s="16">
        <v>0</v>
      </c>
      <c r="W10" s="16">
        <v>0</v>
      </c>
      <c r="X10" s="16">
        <f t="shared" si="2"/>
        <v>0</v>
      </c>
    </row>
    <row r="11" spans="1:30" x14ac:dyDescent="0.25">
      <c r="A11" s="15" t="s">
        <v>3</v>
      </c>
      <c r="B11" s="16">
        <f>SUM(B5:B10)</f>
        <v>0</v>
      </c>
      <c r="C11" s="16">
        <f t="shared" ref="C11:X11" si="3">SUM(C5:C10)</f>
        <v>0</v>
      </c>
      <c r="D11" s="16">
        <f t="shared" si="3"/>
        <v>0</v>
      </c>
      <c r="E11" s="16">
        <f t="shared" si="3"/>
        <v>0</v>
      </c>
      <c r="F11" s="16">
        <f t="shared" si="3"/>
        <v>0</v>
      </c>
      <c r="G11" s="16">
        <f t="shared" si="3"/>
        <v>0</v>
      </c>
      <c r="H11" s="16">
        <f t="shared" si="3"/>
        <v>0</v>
      </c>
      <c r="I11" s="16">
        <f t="shared" si="3"/>
        <v>0</v>
      </c>
      <c r="J11" s="16">
        <f t="shared" si="3"/>
        <v>0</v>
      </c>
      <c r="K11" s="16">
        <f t="shared" si="3"/>
        <v>0</v>
      </c>
      <c r="L11" s="16">
        <f t="shared" si="3"/>
        <v>0</v>
      </c>
      <c r="M11" s="16">
        <f t="shared" si="3"/>
        <v>0</v>
      </c>
      <c r="N11" s="16">
        <f t="shared" si="3"/>
        <v>0</v>
      </c>
      <c r="O11" s="16">
        <f t="shared" si="3"/>
        <v>0</v>
      </c>
      <c r="P11" s="16">
        <f t="shared" si="3"/>
        <v>0</v>
      </c>
      <c r="Q11" s="16">
        <f t="shared" si="3"/>
        <v>0</v>
      </c>
      <c r="R11" s="16">
        <f t="shared" si="3"/>
        <v>0</v>
      </c>
      <c r="S11" s="16">
        <f t="shared" si="3"/>
        <v>0</v>
      </c>
      <c r="T11" s="16">
        <f t="shared" si="3"/>
        <v>0</v>
      </c>
      <c r="U11" s="16">
        <f t="shared" si="3"/>
        <v>0</v>
      </c>
      <c r="V11" s="16">
        <f t="shared" si="3"/>
        <v>0</v>
      </c>
      <c r="W11" s="16">
        <f t="shared" si="3"/>
        <v>0</v>
      </c>
      <c r="X11" s="16">
        <f t="shared" si="3"/>
        <v>0</v>
      </c>
    </row>
    <row r="12" spans="1:30" s="1" customFormat="1" x14ac:dyDescent="0.25">
      <c r="A12" s="7" t="s">
        <v>4</v>
      </c>
      <c r="B12" s="4" t="s">
        <v>5</v>
      </c>
      <c r="C12" s="4" t="s">
        <v>5</v>
      </c>
      <c r="D12" s="4" t="s">
        <v>5</v>
      </c>
      <c r="E12" s="4" t="s">
        <v>5</v>
      </c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 t="s">
        <v>5</v>
      </c>
      <c r="W12" s="4"/>
    </row>
    <row r="13" spans="1:30" s="1" customFormat="1" x14ac:dyDescent="0.25"/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Principal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Yuri Castro Salinas</dc:creator>
  <cp:lastModifiedBy>Rene Yuri Castro Salinas</cp:lastModifiedBy>
  <dcterms:created xsi:type="dcterms:W3CDTF">2018-08-09T18:21:05Z</dcterms:created>
  <dcterms:modified xsi:type="dcterms:W3CDTF">2018-09-03T21:11:38Z</dcterms:modified>
</cp:coreProperties>
</file>