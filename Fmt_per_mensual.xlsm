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X11" i="2" l="1"/>
  <c r="X10" i="2"/>
  <c r="X9" i="2"/>
  <c r="X8" i="2"/>
  <c r="X7" i="2"/>
  <c r="X6" i="2"/>
  <c r="X5" i="2"/>
  <c r="X4" i="2"/>
  <c r="W12" i="2" l="1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X12" i="2" l="1"/>
  <c r="C2" i="2"/>
  <c r="D2" i="2" s="1"/>
  <c r="E2" i="2" s="1"/>
  <c r="C3" i="2"/>
  <c r="B3" i="2"/>
  <c r="D3" i="2" l="1"/>
  <c r="E3" i="2"/>
  <c r="F2" i="2"/>
  <c r="G2" i="2" l="1"/>
  <c r="F3" i="2"/>
  <c r="G3" i="2" l="1"/>
  <c r="H2" i="2"/>
  <c r="I2" i="2" l="1"/>
  <c r="H3" i="2"/>
  <c r="I3" i="2" l="1"/>
  <c r="J2" i="2"/>
  <c r="K2" i="2" l="1"/>
  <c r="J3" i="2"/>
  <c r="K3" i="2" l="1"/>
  <c r="L2" i="2"/>
  <c r="M2" i="2" l="1"/>
  <c r="L3" i="2"/>
  <c r="M3" i="2" l="1"/>
  <c r="N2" i="2"/>
  <c r="O2" i="2" l="1"/>
  <c r="N3" i="2"/>
  <c r="O3" i="2" l="1"/>
  <c r="P2" i="2"/>
  <c r="Q2" i="2" l="1"/>
  <c r="P3" i="2"/>
  <c r="Q3" i="2" l="1"/>
  <c r="R2" i="2"/>
  <c r="S2" i="2" l="1"/>
  <c r="R3" i="2"/>
  <c r="S3" i="2" l="1"/>
  <c r="T2" i="2"/>
  <c r="U2" i="2" l="1"/>
  <c r="T3" i="2"/>
  <c r="V2" i="2" l="1"/>
  <c r="U3" i="2"/>
  <c r="W2" i="2" l="1"/>
  <c r="W3" i="2" s="1"/>
  <c r="V3" i="2"/>
</calcChain>
</file>

<file path=xl/sharedStrings.xml><?xml version="1.0" encoding="utf-8"?>
<sst xmlns="http://schemas.openxmlformats.org/spreadsheetml/2006/main" count="16" uniqueCount="14">
  <si>
    <t>MES</t>
  </si>
  <si>
    <t>PROM</t>
  </si>
  <si>
    <t>PMM</t>
  </si>
  <si>
    <t>Hora Termino Malla</t>
  </si>
  <si>
    <t>TOTAL DURACION PROCESOS</t>
  </si>
  <si>
    <t>Observaciones</t>
  </si>
  <si>
    <t xml:space="preserve"> </t>
  </si>
  <si>
    <t>SFC</t>
  </si>
  <si>
    <t>Renewal</t>
  </si>
  <si>
    <t>Cyber</t>
  </si>
  <si>
    <t>Contabilidad</t>
  </si>
  <si>
    <t>ODS</t>
  </si>
  <si>
    <t>SAT</t>
  </si>
  <si>
    <t>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</si>
</sst>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59A2A"/>
        <bgColor indexed="64"/>
      </patternFill>
    </fill>
    <fill>
      <patternFill patternType="solid">
        <fgColor rgb="FF970B1F"/>
        <bgColor indexed="64"/>
      </patternFill>
    </fill>
    <fill>
      <patternFill patternType="solid">
        <fgColor rgb="FFFFFF19"/>
        <bgColor indexed="64"/>
      </patternFill>
    </fill>
    <fill>
      <patternFill patternType="solid">
        <fgColor rgb="FF16DBD6"/>
        <bgColor indexed="64"/>
      </patternFill>
    </fill>
    <fill>
      <patternFill patternType="solid">
        <fgColor rgb="FFE33E0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0" xfId="0"/>
    <xf numFmtId="14" fontId="4" fillId="4" borderId="2" xfId="1" applyNumberFormat="1" applyFont="1" applyFill="1" applyBorder="1" applyAlignment="1">
      <alignment horizontal="center" vertical="top" wrapText="1"/>
    </xf>
    <xf numFmtId="14" fontId="5" fillId="4" borderId="2" xfId="1" applyNumberFormat="1" applyFont="1" applyFill="1" applyBorder="1" applyAlignment="1">
      <alignment horizontal="center"/>
    </xf>
    <xf numFmtId="20" fontId="6" fillId="6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 wrapText="1"/>
    </xf>
    <xf numFmtId="0" fontId="7" fillId="7" borderId="1" xfId="1" applyFont="1" applyFill="1" applyBorder="1" applyAlignment="1">
      <alignment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1" xfId="1" applyFont="1" applyFill="1" applyBorder="1" applyAlignment="1">
      <alignment vertical="center" wrapText="1"/>
    </xf>
    <xf numFmtId="0" fontId="7" fillId="10" borderId="1" xfId="1" applyFont="1" applyFill="1" applyBorder="1" applyAlignment="1">
      <alignment vertical="center" wrapText="1"/>
    </xf>
    <xf numFmtId="0" fontId="3" fillId="11" borderId="1" xfId="1" applyFont="1" applyFill="1" applyBorder="1" applyAlignment="1">
      <alignment vertical="center"/>
    </xf>
    <xf numFmtId="0" fontId="3" fillId="12" borderId="1" xfId="1" applyFont="1" applyFill="1" applyBorder="1" applyAlignment="1">
      <alignment vertical="center"/>
    </xf>
    <xf numFmtId="0" fontId="3" fillId="13" borderId="1" xfId="1" applyFont="1" applyFill="1" applyBorder="1" applyAlignment="1">
      <alignment vertical="center"/>
    </xf>
    <xf numFmtId="0" fontId="8" fillId="14" borderId="1" xfId="1" applyFont="1" applyFill="1" applyBorder="1" applyAlignment="1">
      <alignment vertical="center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17" fontId="2" fillId="3" borderId="0" xfId="1" applyNumberFormat="1" applyFont="1" applyFill="1" applyBorder="1" applyAlignment="1">
      <alignment vertical="center" wrapText="1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SAT Y SFC Banco Falabella Perú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SFC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LUN 18</c:v>
                </c:pt>
                <c:pt idx="1">
                  <c:v>MAR 19</c:v>
                </c:pt>
                <c:pt idx="2">
                  <c:v>MIÉ 20</c:v>
                </c:pt>
                <c:pt idx="3">
                  <c:v>JUE 21</c:v>
                </c:pt>
                <c:pt idx="4">
                  <c:v>VIE 22</c:v>
                </c:pt>
                <c:pt idx="5">
                  <c:v>SÁB 23</c:v>
                </c:pt>
                <c:pt idx="6">
                  <c:v>DOM 24</c:v>
                </c:pt>
                <c:pt idx="7">
                  <c:v>LUN 25</c:v>
                </c:pt>
                <c:pt idx="8">
                  <c:v>MAR 26</c:v>
                </c:pt>
                <c:pt idx="9">
                  <c:v>MIÉ 27</c:v>
                </c:pt>
                <c:pt idx="10">
                  <c:v>JUE 28</c:v>
                </c:pt>
                <c:pt idx="11">
                  <c:v>VIE 29</c:v>
                </c:pt>
                <c:pt idx="12">
                  <c:v>SÁB 30</c:v>
                </c:pt>
                <c:pt idx="13">
                  <c:v>DOM 1</c:v>
                </c:pt>
                <c:pt idx="14">
                  <c:v>LUN 2</c:v>
                </c:pt>
                <c:pt idx="15">
                  <c:v>MAR 3</c:v>
                </c:pt>
                <c:pt idx="16">
                  <c:v>MIÉ 4</c:v>
                </c:pt>
                <c:pt idx="17">
                  <c:v>JUE 5</c:v>
                </c:pt>
                <c:pt idx="18">
                  <c:v>VIE 6</c:v>
                </c:pt>
                <c:pt idx="19">
                  <c:v>SÁB 7</c:v>
                </c:pt>
                <c:pt idx="20">
                  <c:v>DOM 8</c:v>
                </c:pt>
                <c:pt idx="21">
                  <c:v>LUN 9</c:v>
                </c:pt>
              </c:strCache>
            </c:strRef>
          </c:cat>
          <c:val>
            <c:numRef>
              <c:f>Principal!$B$5:$W$5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Renewal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LUN 18</c:v>
                </c:pt>
                <c:pt idx="1">
                  <c:v>MAR 19</c:v>
                </c:pt>
                <c:pt idx="2">
                  <c:v>MIÉ 20</c:v>
                </c:pt>
                <c:pt idx="3">
                  <c:v>JUE 21</c:v>
                </c:pt>
                <c:pt idx="4">
                  <c:v>VIE 22</c:v>
                </c:pt>
                <c:pt idx="5">
                  <c:v>SÁB 23</c:v>
                </c:pt>
                <c:pt idx="6">
                  <c:v>DOM 24</c:v>
                </c:pt>
                <c:pt idx="7">
                  <c:v>LUN 25</c:v>
                </c:pt>
                <c:pt idx="8">
                  <c:v>MAR 26</c:v>
                </c:pt>
                <c:pt idx="9">
                  <c:v>MIÉ 27</c:v>
                </c:pt>
                <c:pt idx="10">
                  <c:v>JUE 28</c:v>
                </c:pt>
                <c:pt idx="11">
                  <c:v>VIE 29</c:v>
                </c:pt>
                <c:pt idx="12">
                  <c:v>SÁB 30</c:v>
                </c:pt>
                <c:pt idx="13">
                  <c:v>DOM 1</c:v>
                </c:pt>
                <c:pt idx="14">
                  <c:v>LUN 2</c:v>
                </c:pt>
                <c:pt idx="15">
                  <c:v>MAR 3</c:v>
                </c:pt>
                <c:pt idx="16">
                  <c:v>MIÉ 4</c:v>
                </c:pt>
                <c:pt idx="17">
                  <c:v>JUE 5</c:v>
                </c:pt>
                <c:pt idx="18">
                  <c:v>VIE 6</c:v>
                </c:pt>
                <c:pt idx="19">
                  <c:v>SÁB 7</c:v>
                </c:pt>
                <c:pt idx="20">
                  <c:v>DOM 8</c:v>
                </c:pt>
                <c:pt idx="21">
                  <c:v>LUN 9</c:v>
                </c:pt>
              </c:strCache>
            </c:strRef>
          </c:cat>
          <c:val>
            <c:numRef>
              <c:f>Principal!$B$6:$W$6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Cyber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LUN 18</c:v>
                </c:pt>
                <c:pt idx="1">
                  <c:v>MAR 19</c:v>
                </c:pt>
                <c:pt idx="2">
                  <c:v>MIÉ 20</c:v>
                </c:pt>
                <c:pt idx="3">
                  <c:v>JUE 21</c:v>
                </c:pt>
                <c:pt idx="4">
                  <c:v>VIE 22</c:v>
                </c:pt>
                <c:pt idx="5">
                  <c:v>SÁB 23</c:v>
                </c:pt>
                <c:pt idx="6">
                  <c:v>DOM 24</c:v>
                </c:pt>
                <c:pt idx="7">
                  <c:v>LUN 25</c:v>
                </c:pt>
                <c:pt idx="8">
                  <c:v>MAR 26</c:v>
                </c:pt>
                <c:pt idx="9">
                  <c:v>MIÉ 27</c:v>
                </c:pt>
                <c:pt idx="10">
                  <c:v>JUE 28</c:v>
                </c:pt>
                <c:pt idx="11">
                  <c:v>VIE 29</c:v>
                </c:pt>
                <c:pt idx="12">
                  <c:v>SÁB 30</c:v>
                </c:pt>
                <c:pt idx="13">
                  <c:v>DOM 1</c:v>
                </c:pt>
                <c:pt idx="14">
                  <c:v>LUN 2</c:v>
                </c:pt>
                <c:pt idx="15">
                  <c:v>MAR 3</c:v>
                </c:pt>
                <c:pt idx="16">
                  <c:v>MIÉ 4</c:v>
                </c:pt>
                <c:pt idx="17">
                  <c:v>JUE 5</c:v>
                </c:pt>
                <c:pt idx="18">
                  <c:v>VIE 6</c:v>
                </c:pt>
                <c:pt idx="19">
                  <c:v>SÁB 7</c:v>
                </c:pt>
                <c:pt idx="20">
                  <c:v>DOM 8</c:v>
                </c:pt>
                <c:pt idx="21">
                  <c:v>LUN 9</c:v>
                </c:pt>
              </c:strCache>
            </c:strRef>
          </c:cat>
          <c:val>
            <c:numRef>
              <c:f>Principal!$B$7:$W$7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Contabilidad</c:v>
                </c:pt>
              </c:strCache>
            </c:strRef>
          </c:tx>
          <c:invertIfNegative val="0"/>
          <c:cat>
            <c:strRef>
              <c:f>Principal!$B$3:$W$3</c:f>
              <c:strCache>
                <c:ptCount val="22"/>
                <c:pt idx="0">
                  <c:v>LUN 18</c:v>
                </c:pt>
                <c:pt idx="1">
                  <c:v>MAR 19</c:v>
                </c:pt>
                <c:pt idx="2">
                  <c:v>MIÉ 20</c:v>
                </c:pt>
                <c:pt idx="3">
                  <c:v>JUE 21</c:v>
                </c:pt>
                <c:pt idx="4">
                  <c:v>VIE 22</c:v>
                </c:pt>
                <c:pt idx="5">
                  <c:v>SÁB 23</c:v>
                </c:pt>
                <c:pt idx="6">
                  <c:v>DOM 24</c:v>
                </c:pt>
                <c:pt idx="7">
                  <c:v>LUN 25</c:v>
                </c:pt>
                <c:pt idx="8">
                  <c:v>MAR 26</c:v>
                </c:pt>
                <c:pt idx="9">
                  <c:v>MIÉ 27</c:v>
                </c:pt>
                <c:pt idx="10">
                  <c:v>JUE 28</c:v>
                </c:pt>
                <c:pt idx="11">
                  <c:v>VIE 29</c:v>
                </c:pt>
                <c:pt idx="12">
                  <c:v>SÁB 30</c:v>
                </c:pt>
                <c:pt idx="13">
                  <c:v>DOM 1</c:v>
                </c:pt>
                <c:pt idx="14">
                  <c:v>LUN 2</c:v>
                </c:pt>
                <c:pt idx="15">
                  <c:v>MAR 3</c:v>
                </c:pt>
                <c:pt idx="16">
                  <c:v>MIÉ 4</c:v>
                </c:pt>
                <c:pt idx="17">
                  <c:v>JUE 5</c:v>
                </c:pt>
                <c:pt idx="18">
                  <c:v>VIE 6</c:v>
                </c:pt>
                <c:pt idx="19">
                  <c:v>SÁB 7</c:v>
                </c:pt>
                <c:pt idx="20">
                  <c:v>DOM 8</c:v>
                </c:pt>
                <c:pt idx="21">
                  <c:v>LUN 9</c:v>
                </c:pt>
              </c:strCache>
            </c:strRef>
          </c:cat>
          <c:val>
            <c:numRef>
              <c:f>Principal!$B$8:$W$8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LUN 18</c:v>
                </c:pt>
                <c:pt idx="1">
                  <c:v>MAR 19</c:v>
                </c:pt>
                <c:pt idx="2">
                  <c:v>MIÉ 20</c:v>
                </c:pt>
                <c:pt idx="3">
                  <c:v>JUE 21</c:v>
                </c:pt>
                <c:pt idx="4">
                  <c:v>VIE 22</c:v>
                </c:pt>
                <c:pt idx="5">
                  <c:v>SÁB 23</c:v>
                </c:pt>
                <c:pt idx="6">
                  <c:v>DOM 24</c:v>
                </c:pt>
                <c:pt idx="7">
                  <c:v>LUN 25</c:v>
                </c:pt>
                <c:pt idx="8">
                  <c:v>MAR 26</c:v>
                </c:pt>
                <c:pt idx="9">
                  <c:v>MIÉ 27</c:v>
                </c:pt>
                <c:pt idx="10">
                  <c:v>JUE 28</c:v>
                </c:pt>
                <c:pt idx="11">
                  <c:v>VIE 29</c:v>
                </c:pt>
                <c:pt idx="12">
                  <c:v>SÁB 30</c:v>
                </c:pt>
                <c:pt idx="13">
                  <c:v>DOM 1</c:v>
                </c:pt>
                <c:pt idx="14">
                  <c:v>LUN 2</c:v>
                </c:pt>
                <c:pt idx="15">
                  <c:v>MAR 3</c:v>
                </c:pt>
                <c:pt idx="16">
                  <c:v>MIÉ 4</c:v>
                </c:pt>
                <c:pt idx="17">
                  <c:v>JUE 5</c:v>
                </c:pt>
                <c:pt idx="18">
                  <c:v>VIE 6</c:v>
                </c:pt>
                <c:pt idx="19">
                  <c:v>SÁB 7</c:v>
                </c:pt>
                <c:pt idx="20">
                  <c:v>DOM 8</c:v>
                </c:pt>
                <c:pt idx="21">
                  <c:v>LUN 9</c:v>
                </c:pt>
              </c:strCache>
            </c:strRef>
          </c:cat>
          <c:val>
            <c:numRef>
              <c:f>Principal!$B$9:$W$9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Principal!$A$10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LUN 18</c:v>
                </c:pt>
                <c:pt idx="1">
                  <c:v>MAR 19</c:v>
                </c:pt>
                <c:pt idx="2">
                  <c:v>MIÉ 20</c:v>
                </c:pt>
                <c:pt idx="3">
                  <c:v>JUE 21</c:v>
                </c:pt>
                <c:pt idx="4">
                  <c:v>VIE 22</c:v>
                </c:pt>
                <c:pt idx="5">
                  <c:v>SÁB 23</c:v>
                </c:pt>
                <c:pt idx="6">
                  <c:v>DOM 24</c:v>
                </c:pt>
                <c:pt idx="7">
                  <c:v>LUN 25</c:v>
                </c:pt>
                <c:pt idx="8">
                  <c:v>MAR 26</c:v>
                </c:pt>
                <c:pt idx="9">
                  <c:v>MIÉ 27</c:v>
                </c:pt>
                <c:pt idx="10">
                  <c:v>JUE 28</c:v>
                </c:pt>
                <c:pt idx="11">
                  <c:v>VIE 29</c:v>
                </c:pt>
                <c:pt idx="12">
                  <c:v>SÁB 30</c:v>
                </c:pt>
                <c:pt idx="13">
                  <c:v>DOM 1</c:v>
                </c:pt>
                <c:pt idx="14">
                  <c:v>LUN 2</c:v>
                </c:pt>
                <c:pt idx="15">
                  <c:v>MAR 3</c:v>
                </c:pt>
                <c:pt idx="16">
                  <c:v>MIÉ 4</c:v>
                </c:pt>
                <c:pt idx="17">
                  <c:v>JUE 5</c:v>
                </c:pt>
                <c:pt idx="18">
                  <c:v>VIE 6</c:v>
                </c:pt>
                <c:pt idx="19">
                  <c:v>SÁB 7</c:v>
                </c:pt>
                <c:pt idx="20">
                  <c:v>DOM 8</c:v>
                </c:pt>
                <c:pt idx="21">
                  <c:v>LUN 9</c:v>
                </c:pt>
              </c:strCache>
            </c:strRef>
          </c:cat>
          <c:val>
            <c:numRef>
              <c:f>Principal!$B$10:$W$10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7"/>
          <c:order val="7"/>
          <c:tx>
            <c:strRef>
              <c:f>Principal!$A$11</c:f>
              <c:strCache>
                <c:ptCount val="1"/>
                <c:pt idx="0">
                  <c:v>AZ</c:v>
                </c:pt>
              </c:strCache>
            </c:strRef>
          </c:tx>
          <c:invertIfNegative val="0"/>
          <c:cat>
            <c:strRef>
              <c:f>Principal!$B$3:$W$3</c:f>
              <c:strCache>
                <c:ptCount val="22"/>
                <c:pt idx="0">
                  <c:v>LUN 18</c:v>
                </c:pt>
                <c:pt idx="1">
                  <c:v>MAR 19</c:v>
                </c:pt>
                <c:pt idx="2">
                  <c:v>MIÉ 20</c:v>
                </c:pt>
                <c:pt idx="3">
                  <c:v>JUE 21</c:v>
                </c:pt>
                <c:pt idx="4">
                  <c:v>VIE 22</c:v>
                </c:pt>
                <c:pt idx="5">
                  <c:v>SÁB 23</c:v>
                </c:pt>
                <c:pt idx="6">
                  <c:v>DOM 24</c:v>
                </c:pt>
                <c:pt idx="7">
                  <c:v>LUN 25</c:v>
                </c:pt>
                <c:pt idx="8">
                  <c:v>MAR 26</c:v>
                </c:pt>
                <c:pt idx="9">
                  <c:v>MIÉ 27</c:v>
                </c:pt>
                <c:pt idx="10">
                  <c:v>JUE 28</c:v>
                </c:pt>
                <c:pt idx="11">
                  <c:v>VIE 29</c:v>
                </c:pt>
                <c:pt idx="12">
                  <c:v>SÁB 30</c:v>
                </c:pt>
                <c:pt idx="13">
                  <c:v>DOM 1</c:v>
                </c:pt>
                <c:pt idx="14">
                  <c:v>LUN 2</c:v>
                </c:pt>
                <c:pt idx="15">
                  <c:v>MAR 3</c:v>
                </c:pt>
                <c:pt idx="16">
                  <c:v>MIÉ 4</c:v>
                </c:pt>
                <c:pt idx="17">
                  <c:v>JUE 5</c:v>
                </c:pt>
                <c:pt idx="18">
                  <c:v>VIE 6</c:v>
                </c:pt>
                <c:pt idx="19">
                  <c:v>SÁB 7</c:v>
                </c:pt>
                <c:pt idx="20">
                  <c:v>DOM 8</c:v>
                </c:pt>
                <c:pt idx="21">
                  <c:v>LUN 9</c:v>
                </c:pt>
              </c:strCache>
            </c:strRef>
          </c:cat>
          <c:val>
            <c:numRef>
              <c:f>Principal!$B$11:$W$11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8955904"/>
        <c:axId val="108961792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Termino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LUN 18</c:v>
                </c:pt>
                <c:pt idx="1">
                  <c:v>MAR 19</c:v>
                </c:pt>
                <c:pt idx="2">
                  <c:v>MIÉ 20</c:v>
                </c:pt>
                <c:pt idx="3">
                  <c:v>JUE 21</c:v>
                </c:pt>
                <c:pt idx="4">
                  <c:v>VIE 22</c:v>
                </c:pt>
                <c:pt idx="5">
                  <c:v>SÁB 23</c:v>
                </c:pt>
                <c:pt idx="6">
                  <c:v>DOM 24</c:v>
                </c:pt>
                <c:pt idx="7">
                  <c:v>LUN 25</c:v>
                </c:pt>
                <c:pt idx="8">
                  <c:v>MAR 26</c:v>
                </c:pt>
                <c:pt idx="9">
                  <c:v>MIÉ 27</c:v>
                </c:pt>
                <c:pt idx="10">
                  <c:v>JUE 28</c:v>
                </c:pt>
                <c:pt idx="11">
                  <c:v>VIE 29</c:v>
                </c:pt>
                <c:pt idx="12">
                  <c:v>SÁB 30</c:v>
                </c:pt>
                <c:pt idx="13">
                  <c:v>DOM 1</c:v>
                </c:pt>
                <c:pt idx="14">
                  <c:v>LUN 2</c:v>
                </c:pt>
                <c:pt idx="15">
                  <c:v>MAR 3</c:v>
                </c:pt>
                <c:pt idx="16">
                  <c:v>MIÉ 4</c:v>
                </c:pt>
                <c:pt idx="17">
                  <c:v>JUE 5</c:v>
                </c:pt>
                <c:pt idx="18">
                  <c:v>VIE 6</c:v>
                </c:pt>
                <c:pt idx="19">
                  <c:v>SÁB 7</c:v>
                </c:pt>
                <c:pt idx="20">
                  <c:v>DOM 8</c:v>
                </c:pt>
                <c:pt idx="21">
                  <c:v>LUN 9</c:v>
                </c:pt>
              </c:strCache>
            </c:str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55904"/>
        <c:axId val="108961792"/>
      </c:lineChart>
      <c:lineChart>
        <c:grouping val="standard"/>
        <c:varyColors val="0"/>
        <c:ser>
          <c:idx val="8"/>
          <c:order val="8"/>
          <c:tx>
            <c:strRef>
              <c:f>Principal!$A$12</c:f>
              <c:strCache>
                <c:ptCount val="1"/>
                <c:pt idx="0">
                  <c:v>TOTAL DURACION PROCESOS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dLbls>
            <c:spPr>
              <a:solidFill>
                <a:srgbClr val="FFF7DD"/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LUN 18</c:v>
                </c:pt>
                <c:pt idx="1">
                  <c:v>MAR 19</c:v>
                </c:pt>
                <c:pt idx="2">
                  <c:v>MIÉ 20</c:v>
                </c:pt>
                <c:pt idx="3">
                  <c:v>JUE 21</c:v>
                </c:pt>
                <c:pt idx="4">
                  <c:v>VIE 22</c:v>
                </c:pt>
                <c:pt idx="5">
                  <c:v>SÁB 23</c:v>
                </c:pt>
                <c:pt idx="6">
                  <c:v>DOM 24</c:v>
                </c:pt>
                <c:pt idx="7">
                  <c:v>LUN 25</c:v>
                </c:pt>
                <c:pt idx="8">
                  <c:v>MAR 26</c:v>
                </c:pt>
                <c:pt idx="9">
                  <c:v>MIÉ 27</c:v>
                </c:pt>
                <c:pt idx="10">
                  <c:v>JUE 28</c:v>
                </c:pt>
                <c:pt idx="11">
                  <c:v>VIE 29</c:v>
                </c:pt>
                <c:pt idx="12">
                  <c:v>SÁB 30</c:v>
                </c:pt>
                <c:pt idx="13">
                  <c:v>DOM 1</c:v>
                </c:pt>
                <c:pt idx="14">
                  <c:v>LUN 2</c:v>
                </c:pt>
                <c:pt idx="15">
                  <c:v>MAR 3</c:v>
                </c:pt>
                <c:pt idx="16">
                  <c:v>MIÉ 4</c:v>
                </c:pt>
                <c:pt idx="17">
                  <c:v>JUE 5</c:v>
                </c:pt>
                <c:pt idx="18">
                  <c:v>VIE 6</c:v>
                </c:pt>
                <c:pt idx="19">
                  <c:v>SÁB 7</c:v>
                </c:pt>
                <c:pt idx="20">
                  <c:v>DOM 8</c:v>
                </c:pt>
                <c:pt idx="21">
                  <c:v>LUN 9</c:v>
                </c:pt>
              </c:strCache>
            </c:strRef>
          </c:cat>
          <c:val>
            <c:numRef>
              <c:f>Principal!$B$12:$W$12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74080"/>
        <c:axId val="108963712"/>
      </c:lineChart>
      <c:catAx>
        <c:axId val="108955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08961792"/>
        <c:crosses val="autoZero"/>
        <c:auto val="1"/>
        <c:lblAlgn val="ctr"/>
        <c:lblOffset val="100"/>
        <c:noMultiLvlLbl val="0"/>
      </c:catAx>
      <c:valAx>
        <c:axId val="10896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h:mm" sourceLinked="1"/>
        <c:majorTickMark val="out"/>
        <c:minorTickMark val="none"/>
        <c:tickLblPos val="nextTo"/>
        <c:crossAx val="108955904"/>
        <c:crosses val="autoZero"/>
        <c:crossBetween val="between"/>
      </c:valAx>
      <c:valAx>
        <c:axId val="108963712"/>
        <c:scaling>
          <c:orientation val="minMax"/>
          <c:max val="1.7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Hora final de la malla (HH:MM)</a:t>
                </a:r>
              </a:p>
            </c:rich>
          </c:tx>
          <c:layout/>
          <c:overlay val="0"/>
        </c:title>
        <c:numFmt formatCode="[$-F400]h:mm:ss\ AM/PM" sourceLinked="0"/>
        <c:majorTickMark val="out"/>
        <c:minorTickMark val="none"/>
        <c:tickLblPos val="nextTo"/>
        <c:crossAx val="108974080"/>
        <c:crosses val="max"/>
        <c:crossBetween val="between"/>
        <c:majorUnit val="0.25"/>
      </c:valAx>
      <c:catAx>
        <c:axId val="108974080"/>
        <c:scaling>
          <c:orientation val="minMax"/>
        </c:scaling>
        <c:delete val="1"/>
        <c:axPos val="b"/>
        <c:title>
          <c:layout/>
          <c:overlay val="0"/>
        </c:title>
        <c:majorTickMark val="out"/>
        <c:minorTickMark val="none"/>
        <c:tickLblPos val="nextTo"/>
        <c:crossAx val="108963712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15</xdr:row>
      <xdr:rowOff>23810</xdr:rowOff>
    </xdr:from>
    <xdr:to>
      <xdr:col>34</xdr:col>
      <xdr:colOff>495300</xdr:colOff>
      <xdr:row>44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14"/>
  <sheetViews>
    <sheetView tabSelected="1" workbookViewId="0">
      <selection activeCell="B4" sqref="B4:W11"/>
    </sheetView>
  </sheetViews>
  <sheetFormatPr baseColWidth="10" defaultRowHeight="15" x14ac:dyDescent="0.25"/>
  <cols>
    <col min="1" max="1" width="23.7109375" bestFit="1" customWidth="1"/>
  </cols>
  <sheetData>
    <row r="1" spans="1:24" x14ac:dyDescent="0.25">
      <c r="A1" s="18" t="s">
        <v>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1"/>
    </row>
    <row r="2" spans="1:24" x14ac:dyDescent="0.25">
      <c r="A2" s="6"/>
      <c r="B2" s="19">
        <v>43269</v>
      </c>
      <c r="C2" s="19">
        <f>B2+1</f>
        <v>43270</v>
      </c>
      <c r="D2" s="19">
        <f t="shared" ref="D2:W2" si="0">C2+1</f>
        <v>43271</v>
      </c>
      <c r="E2" s="19">
        <f t="shared" si="0"/>
        <v>43272</v>
      </c>
      <c r="F2" s="19">
        <f t="shared" si="0"/>
        <v>43273</v>
      </c>
      <c r="G2" s="19">
        <f t="shared" si="0"/>
        <v>43274</v>
      </c>
      <c r="H2" s="19">
        <f t="shared" si="0"/>
        <v>43275</v>
      </c>
      <c r="I2" s="19">
        <f t="shared" si="0"/>
        <v>43276</v>
      </c>
      <c r="J2" s="19">
        <f t="shared" si="0"/>
        <v>43277</v>
      </c>
      <c r="K2" s="19">
        <f t="shared" si="0"/>
        <v>43278</v>
      </c>
      <c r="L2" s="19">
        <f t="shared" si="0"/>
        <v>43279</v>
      </c>
      <c r="M2" s="19">
        <f t="shared" si="0"/>
        <v>43280</v>
      </c>
      <c r="N2" s="19">
        <f t="shared" si="0"/>
        <v>43281</v>
      </c>
      <c r="O2" s="19">
        <f t="shared" si="0"/>
        <v>43282</v>
      </c>
      <c r="P2" s="19">
        <f t="shared" si="0"/>
        <v>43283</v>
      </c>
      <c r="Q2" s="19">
        <f t="shared" si="0"/>
        <v>43284</v>
      </c>
      <c r="R2" s="19">
        <f t="shared" si="0"/>
        <v>43285</v>
      </c>
      <c r="S2" s="19">
        <f t="shared" si="0"/>
        <v>43286</v>
      </c>
      <c r="T2" s="19">
        <f t="shared" si="0"/>
        <v>43287</v>
      </c>
      <c r="U2" s="19">
        <f t="shared" si="0"/>
        <v>43288</v>
      </c>
      <c r="V2" s="19">
        <f t="shared" si="0"/>
        <v>43289</v>
      </c>
      <c r="W2" s="19">
        <f t="shared" si="0"/>
        <v>43290</v>
      </c>
      <c r="X2" s="2" t="s">
        <v>1</v>
      </c>
    </row>
    <row r="3" spans="1:24" x14ac:dyDescent="0.25">
      <c r="A3" s="7"/>
      <c r="B3" s="3" t="str">
        <f>CONCATENATE(MID(UPPER(TEXT(B2,"dddd")),1,3)," ",DAY(B2))</f>
        <v>LUN 18</v>
      </c>
      <c r="C3" s="3" t="str">
        <f t="shared" ref="C3:W3" si="1">CONCATENATE(MID(UPPER(TEXT(C2,"dddd")),1,3)," ",DAY(C2))</f>
        <v>MAR 19</v>
      </c>
      <c r="D3" s="3" t="str">
        <f t="shared" si="1"/>
        <v>MIÉ 20</v>
      </c>
      <c r="E3" s="3" t="str">
        <f t="shared" si="1"/>
        <v>JUE 21</v>
      </c>
      <c r="F3" s="3" t="str">
        <f t="shared" si="1"/>
        <v>VIE 22</v>
      </c>
      <c r="G3" s="3" t="str">
        <f t="shared" si="1"/>
        <v>SÁB 23</v>
      </c>
      <c r="H3" s="3" t="str">
        <f t="shared" si="1"/>
        <v>DOM 24</v>
      </c>
      <c r="I3" s="3" t="str">
        <f t="shared" si="1"/>
        <v>LUN 25</v>
      </c>
      <c r="J3" s="3" t="str">
        <f t="shared" si="1"/>
        <v>MAR 26</v>
      </c>
      <c r="K3" s="3" t="str">
        <f t="shared" si="1"/>
        <v>MIÉ 27</v>
      </c>
      <c r="L3" s="3" t="str">
        <f t="shared" si="1"/>
        <v>JUE 28</v>
      </c>
      <c r="M3" s="3" t="str">
        <f t="shared" si="1"/>
        <v>VIE 29</v>
      </c>
      <c r="N3" s="3" t="str">
        <f t="shared" si="1"/>
        <v>SÁB 30</v>
      </c>
      <c r="O3" s="3" t="str">
        <f t="shared" si="1"/>
        <v>DOM 1</v>
      </c>
      <c r="P3" s="3" t="str">
        <f t="shared" si="1"/>
        <v>LUN 2</v>
      </c>
      <c r="Q3" s="3" t="str">
        <f t="shared" si="1"/>
        <v>MAR 3</v>
      </c>
      <c r="R3" s="3" t="str">
        <f t="shared" si="1"/>
        <v>MIÉ 4</v>
      </c>
      <c r="S3" s="3" t="str">
        <f t="shared" si="1"/>
        <v>JUE 5</v>
      </c>
      <c r="T3" s="3" t="str">
        <f t="shared" si="1"/>
        <v>VIE 6</v>
      </c>
      <c r="U3" s="3" t="str">
        <f t="shared" si="1"/>
        <v>SÁB 7</v>
      </c>
      <c r="V3" s="3" t="str">
        <f t="shared" si="1"/>
        <v>DOM 8</v>
      </c>
      <c r="W3" s="3" t="str">
        <f t="shared" si="1"/>
        <v>LUN 9</v>
      </c>
      <c r="X3" s="3" t="s">
        <v>2</v>
      </c>
    </row>
    <row r="4" spans="1:24" ht="15" customHeight="1" x14ac:dyDescent="0.25">
      <c r="A4" s="8" t="s">
        <v>3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f>AVERAGE(B4:W4)</f>
        <v>0</v>
      </c>
    </row>
    <row r="5" spans="1:24" ht="15" customHeight="1" x14ac:dyDescent="0.25">
      <c r="A5" s="9" t="s">
        <v>7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f t="shared" ref="X5:X12" si="2">AVERAGE(B5:W5)</f>
        <v>0</v>
      </c>
    </row>
    <row r="6" spans="1:24" ht="15" customHeight="1" x14ac:dyDescent="0.25">
      <c r="A6" s="10" t="s">
        <v>8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f t="shared" si="2"/>
        <v>0</v>
      </c>
    </row>
    <row r="7" spans="1:24" ht="15" customHeight="1" x14ac:dyDescent="0.25">
      <c r="A7" s="11" t="s">
        <v>9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f t="shared" si="2"/>
        <v>0</v>
      </c>
    </row>
    <row r="8" spans="1:24" ht="15" customHeight="1" x14ac:dyDescent="0.25">
      <c r="A8" s="12" t="s">
        <v>10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f t="shared" si="2"/>
        <v>0</v>
      </c>
    </row>
    <row r="9" spans="1:24" x14ac:dyDescent="0.25">
      <c r="A9" s="13" t="s">
        <v>11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f t="shared" si="2"/>
        <v>0</v>
      </c>
    </row>
    <row r="10" spans="1:24" x14ac:dyDescent="0.25">
      <c r="A10" s="14" t="s">
        <v>12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f t="shared" si="2"/>
        <v>0</v>
      </c>
    </row>
    <row r="11" spans="1:24" x14ac:dyDescent="0.25">
      <c r="A11" s="15" t="s">
        <v>13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f t="shared" si="2"/>
        <v>0</v>
      </c>
    </row>
    <row r="12" spans="1:24" x14ac:dyDescent="0.25">
      <c r="A12" s="16" t="s">
        <v>4</v>
      </c>
      <c r="B12" s="4">
        <f>(HOUR(B5)+(MINUTE(B5)/60))+(HOUR(B6)+(MINUTE(B6)/60))+(HOUR(B7)+(MINUTE(B7)/60))+(HOUR(B8)+(MINUTE(B8)/60))+(HOUR(B9)+(MINUTE(B9)/60))+(HOUR(B10)+(MINUTE(B10)/60))+(HOUR(B11)+(MINUTE(B11)/60))</f>
        <v>0</v>
      </c>
      <c r="C12" s="4">
        <f t="shared" ref="C12:W12" si="3">(HOUR(C5)+(MINUTE(C5)/60))+(HOUR(C6)+(MINUTE(C6)/60))+(HOUR(C7)+(MINUTE(C7)/60))+(HOUR(C8)+(MINUTE(C8)/60))+(HOUR(C9)+(MINUTE(C9)/60))+(HOUR(C10)+(MINUTE(C10)/60))+(HOUR(C11)+(MINUTE(C11)/60))</f>
        <v>0</v>
      </c>
      <c r="D12" s="4">
        <f t="shared" si="3"/>
        <v>0</v>
      </c>
      <c r="E12" s="4">
        <f t="shared" si="3"/>
        <v>0</v>
      </c>
      <c r="F12" s="4">
        <f t="shared" si="3"/>
        <v>0</v>
      </c>
      <c r="G12" s="4">
        <f t="shared" si="3"/>
        <v>0</v>
      </c>
      <c r="H12" s="4">
        <f t="shared" si="3"/>
        <v>0</v>
      </c>
      <c r="I12" s="4">
        <f t="shared" si="3"/>
        <v>0</v>
      </c>
      <c r="J12" s="4">
        <f t="shared" si="3"/>
        <v>0</v>
      </c>
      <c r="K12" s="4">
        <f t="shared" si="3"/>
        <v>0</v>
      </c>
      <c r="L12" s="4">
        <f t="shared" si="3"/>
        <v>0</v>
      </c>
      <c r="M12" s="4">
        <f t="shared" si="3"/>
        <v>0</v>
      </c>
      <c r="N12" s="4">
        <f t="shared" si="3"/>
        <v>0</v>
      </c>
      <c r="O12" s="4">
        <f t="shared" si="3"/>
        <v>0</v>
      </c>
      <c r="P12" s="4">
        <f t="shared" si="3"/>
        <v>0</v>
      </c>
      <c r="Q12" s="4">
        <f t="shared" si="3"/>
        <v>0</v>
      </c>
      <c r="R12" s="4">
        <f t="shared" si="3"/>
        <v>0</v>
      </c>
      <c r="S12" s="4">
        <f t="shared" si="3"/>
        <v>0</v>
      </c>
      <c r="T12" s="4">
        <f t="shared" si="3"/>
        <v>0</v>
      </c>
      <c r="U12" s="4">
        <f t="shared" si="3"/>
        <v>0</v>
      </c>
      <c r="V12" s="4">
        <f t="shared" si="3"/>
        <v>0</v>
      </c>
      <c r="W12" s="4">
        <f t="shared" si="3"/>
        <v>0</v>
      </c>
      <c r="X12" s="4">
        <f t="shared" si="2"/>
        <v>0</v>
      </c>
    </row>
    <row r="13" spans="1:24" s="1" customFormat="1" x14ac:dyDescent="0.25">
      <c r="A13" s="17" t="s">
        <v>5</v>
      </c>
      <c r="B13" s="5" t="s">
        <v>6</v>
      </c>
      <c r="C13" s="5" t="s">
        <v>6</v>
      </c>
      <c r="D13" s="5" t="s">
        <v>6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4" s="1" customForma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2018-08-17T12:55:41Z</dcterms:modified>
</cp:coreProperties>
</file>